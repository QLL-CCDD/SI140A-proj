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红包数据统计" sheetId="1" r:id="rId1"/>
    <sheet name="金额返还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<sst xmlns="http://schemas.openxmlformats.org/spreadsheetml/2006/main" count="49" uniqueCount="32">
  <si>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r>
      <rPr>
        <sz val="10"/>
        <color rgb="FF000000"/>
        <rFont val="宋体"/>
        <charset val="134"/>
      </rPr>
      <t>注意：
每个发红包的人填写表格的10行；按照</t>
    </r>
    <r>
      <rPr>
        <sz val="16"/>
        <color rgb="FFFF0000"/>
        <rFont val="宋体"/>
        <charset val="134"/>
      </rPr>
      <t>抢红包顺序填写，和抢到的人无关</t>
    </r>
    <r>
      <rPr>
        <sz val="10"/>
        <color rgb="FF000000"/>
        <rFont val="宋体"/>
        <charset val="134"/>
      </rPr>
      <t xml:space="preserve">
发红包者计数显示是倒序的：先抢红包的在</t>
    </r>
    <r>
      <rPr>
        <sz val="16"/>
        <color rgb="FFFF0000"/>
        <rFont val="宋体"/>
        <charset val="134"/>
      </rPr>
      <t>最下面，注意填写顺序</t>
    </r>
    <r>
      <rPr>
        <sz val="10"/>
        <color rgb="FF000000"/>
        <rFont val="宋体"/>
        <charset val="134"/>
      </rPr>
      <t>！</t>
    </r>
  </si>
  <si>
    <t>发送者</t>
  </si>
  <si>
    <t>红包编号\名次</t>
  </si>
  <si>
    <t>总计</t>
  </si>
  <si>
    <t>钱磊</t>
  </si>
  <si>
    <t>周博扬</t>
  </si>
  <si>
    <t>徐景骐</t>
  </si>
  <si>
    <t>black</t>
  </si>
  <si>
    <t>宋梓冬</t>
  </si>
  <si>
    <t>不知道叫啥</t>
  </si>
  <si>
    <t>林子修</t>
  </si>
  <si>
    <t>WjNaG</t>
  </si>
  <si>
    <t>张子豪</t>
  </si>
  <si>
    <t>Freddie_Lee</t>
  </si>
  <si>
    <t>Ricarddd</t>
  </si>
  <si>
    <t>Luffi</t>
  </si>
  <si>
    <t>沈思弦</t>
  </si>
  <si>
    <t>_Arahc_</t>
  </si>
  <si>
    <t>鹿.Lucifer</t>
  </si>
  <si>
    <t>方差</t>
  </si>
  <si>
    <t>平均</t>
  </si>
  <si>
    <t>最大值出现次数</t>
  </si>
  <si>
    <r>
      <rPr>
        <sz val="10"/>
        <color rgb="FF000000"/>
        <rFont val="宋体"/>
        <charset val="134"/>
      </rPr>
      <t xml:space="preserve">注意：
可以在 </t>
    </r>
    <r>
      <rPr>
        <sz val="14"/>
        <color rgb="FFFF0000"/>
        <rFont val="宋体"/>
        <charset val="134"/>
      </rPr>
      <t>我-服务-钱包-账单</t>
    </r>
    <r>
      <rPr>
        <sz val="10"/>
        <color rgb="FF000000"/>
        <rFont val="宋体"/>
        <charset val="134"/>
      </rPr>
      <t xml:space="preserve"> 里找到12月账单，</t>
    </r>
    <r>
      <rPr>
        <sz val="14"/>
        <color rgb="FFFF0000"/>
        <rFont val="宋体"/>
        <charset val="134"/>
      </rPr>
      <t>“全部账单”</t>
    </r>
    <r>
      <rPr>
        <sz val="10"/>
        <color rgb="FF000000"/>
        <rFont val="宋体"/>
        <charset val="134"/>
      </rPr>
      <t>选择</t>
    </r>
    <r>
      <rPr>
        <sz val="14"/>
        <color rgb="FFFF0000"/>
        <rFont val="宋体"/>
        <charset val="134"/>
      </rPr>
      <t>“红包”</t>
    </r>
    <r>
      <rPr>
        <sz val="10"/>
        <color rgb="FF000000"/>
        <rFont val="宋体"/>
        <charset val="134"/>
      </rPr>
      <t xml:space="preserve">
用总收入减去自己12月的其它收入即得到总红包收入</t>
    </r>
  </si>
  <si>
    <t>昵称</t>
  </si>
  <si>
    <t>红包总收入</t>
  </si>
  <si>
    <t>红包总支出</t>
  </si>
  <si>
    <t>补偿数额</t>
  </si>
  <si>
    <t>新补偿数额</t>
  </si>
  <si>
    <t>是否转账</t>
  </si>
  <si>
    <t>注：收到钱磊红包金额45.96，含在总收入金额内，但已结转</t>
  </si>
  <si>
    <t>注：超时未领取返还红包6.37</t>
  </si>
  <si>
    <t>注：超时未领取返还红包39.17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</si>
</sst>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00_ "/>
    <numFmt numFmtId="178" formatCode="0.00_ "/>
  </numFmts>
  <fonts count="25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宋体"/>
      <charset val="134"/>
    </font>
    <font>
      <sz val="14"/>
      <color rgb="FFFF0000"/>
      <name val="宋体"/>
      <charset val="134"/>
    </font>
    <font>
      <sz val="16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0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红包数据统计"/>
  <dimension ref="A1:AA161"/>
  <sheetViews>
    <sheetView tabSelected="1" workbookViewId="0">
      <pane ySplit="2" topLeftCell="A135" activePane="bottomLeft" state="frozen"/>
      <selection/>
      <selection pane="bottomLeft" activeCell="B156" sqref="B156"/>
    </sheetView>
  </sheetViews>
  <sheetFormatPr defaultColWidth="9.81818181818182" defaultRowHeight="13"/>
  <cols>
    <col min="1" max="1" width="12.2727272727273" style="1" customWidth="1"/>
    <col min="2" max="2" width="12.5" style="1" customWidth="1"/>
    <col min="3" max="17" width="13.6727272727273" style="1"/>
    <col min="18" max="18" width="13.6727272727273" style="3"/>
    <col min="19" max="27" width="13.6727272727273" style="1"/>
  </cols>
  <sheetData>
    <row r="1" ht="87.75" customHeight="1" spans="1:18">
      <c r="A1" s="2" t="s">
        <v>0</v>
      </c>
      <c r="B1"/>
    </row>
    <row r="2" spans="1:18">
      <c r="A2" s="1" t="s">
        <v>1</v>
      </c>
      <c r="B2" s="1" t="s">
        <v>2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3" t="s">
        <v>3</v>
      </c>
    </row>
    <row r="3" spans="1:18">
      <c r="A3" s="1" t="s">
        <v>4</v>
      </c>
      <c r="B3" s="1">
        <v>1</v>
      </c>
      <c r="C3" s="3">
        <v>7.34</v>
      </c>
      <c r="D3" s="3">
        <v>4.61</v>
      </c>
      <c r="E3" s="3">
        <v>2.79</v>
      </c>
      <c r="F3" s="3">
        <v>6.31</v>
      </c>
      <c r="G3" s="3">
        <v>2.93</v>
      </c>
      <c r="H3" s="3">
        <v>0.8</v>
      </c>
      <c r="I3" s="3">
        <v>4.72</v>
      </c>
      <c r="J3" s="3">
        <v>4.65</v>
      </c>
      <c r="K3" s="3">
        <v>1.27</v>
      </c>
      <c r="L3" s="3">
        <v>6.06</v>
      </c>
      <c r="M3" s="3">
        <v>3.64</v>
      </c>
      <c r="N3" s="3">
        <v>7.14</v>
      </c>
      <c r="O3" s="3">
        <v>1.34</v>
      </c>
      <c r="P3" s="3">
        <v>2.29</v>
      </c>
      <c r="Q3" s="3">
        <v>4.11</v>
      </c>
      <c r="R3" s="3">
        <f t="shared" ref="R3:R66" si="0">SUM(C3:Q3)</f>
        <v>60</v>
      </c>
    </row>
    <row r="4" spans="1:18">
      <c r="B4" s="1">
        <v>2</v>
      </c>
      <c r="C4" s="3">
        <v>2.45</v>
      </c>
      <c r="D4" s="3">
        <v>2.09</v>
      </c>
      <c r="E4" s="3">
        <v>3.94</v>
      </c>
      <c r="F4" s="3">
        <v>3.23</v>
      </c>
      <c r="G4" s="3">
        <v>1.7</v>
      </c>
      <c r="H4" s="3">
        <v>6.62</v>
      </c>
      <c r="I4" s="3">
        <v>0.44</v>
      </c>
      <c r="J4" s="3">
        <v>6.25</v>
      </c>
      <c r="K4" s="3">
        <v>0.86</v>
      </c>
      <c r="L4" s="3">
        <v>2.32</v>
      </c>
      <c r="M4" s="3">
        <v>11.4</v>
      </c>
      <c r="N4" s="3">
        <v>2.16</v>
      </c>
      <c r="O4" s="3">
        <v>6.14</v>
      </c>
      <c r="P4" s="3">
        <v>1.42</v>
      </c>
      <c r="Q4" s="3">
        <v>8.98</v>
      </c>
      <c r="R4" s="3">
        <f t="shared" si="0"/>
        <v>60</v>
      </c>
    </row>
    <row r="5" spans="1:18">
      <c r="B5" s="1">
        <v>3</v>
      </c>
      <c r="C5" s="3">
        <v>6.68</v>
      </c>
      <c r="D5" s="3">
        <v>6.38</v>
      </c>
      <c r="E5" s="3">
        <v>2.39</v>
      </c>
      <c r="F5" s="3">
        <v>3</v>
      </c>
      <c r="G5" s="3">
        <v>2.4</v>
      </c>
      <c r="H5" s="3">
        <v>0.39</v>
      </c>
      <c r="I5" s="3">
        <v>0.49</v>
      </c>
      <c r="J5" s="3">
        <v>2.09</v>
      </c>
      <c r="K5" s="3">
        <v>7.46</v>
      </c>
      <c r="L5" s="3">
        <v>7.04</v>
      </c>
      <c r="M5" s="3">
        <v>2.14</v>
      </c>
      <c r="N5" s="3">
        <v>0.61</v>
      </c>
      <c r="O5" s="3">
        <v>8.66</v>
      </c>
      <c r="P5" s="3">
        <v>2.86</v>
      </c>
      <c r="Q5" s="3">
        <v>7.41</v>
      </c>
      <c r="R5" s="3">
        <f t="shared" si="0"/>
        <v>60</v>
      </c>
    </row>
    <row r="6" spans="1:18">
      <c r="B6" s="1">
        <v>4</v>
      </c>
      <c r="C6" s="3">
        <v>5.22</v>
      </c>
      <c r="D6" s="3">
        <v>6.54</v>
      </c>
      <c r="E6" s="3">
        <v>5.6</v>
      </c>
      <c r="F6" s="3">
        <v>0.76</v>
      </c>
      <c r="G6" s="3">
        <v>2.15</v>
      </c>
      <c r="H6" s="3">
        <v>7.14</v>
      </c>
      <c r="I6" s="3">
        <v>4.32</v>
      </c>
      <c r="J6" s="3">
        <v>1.96</v>
      </c>
      <c r="K6" s="3">
        <v>6.36</v>
      </c>
      <c r="L6" s="3">
        <v>4.19</v>
      </c>
      <c r="M6" s="3">
        <v>4.56</v>
      </c>
      <c r="N6" s="3">
        <v>3.29</v>
      </c>
      <c r="O6" s="3">
        <v>0.85</v>
      </c>
      <c r="P6" s="1">
        <v>3.05</v>
      </c>
      <c r="Q6" s="1">
        <v>4.01</v>
      </c>
      <c r="R6" s="3">
        <f t="shared" si="0"/>
        <v>60</v>
      </c>
    </row>
    <row r="7" spans="1:18">
      <c r="B7" s="1">
        <v>5</v>
      </c>
      <c r="C7" s="3">
        <v>0.4</v>
      </c>
      <c r="D7" s="3">
        <v>2.46</v>
      </c>
      <c r="E7" s="3">
        <v>8.27</v>
      </c>
      <c r="F7" s="3">
        <v>7.19</v>
      </c>
      <c r="G7" s="3">
        <v>4.34</v>
      </c>
      <c r="H7" s="3">
        <v>7.15</v>
      </c>
      <c r="I7" s="3">
        <v>2.16</v>
      </c>
      <c r="J7" s="3">
        <v>2.25</v>
      </c>
      <c r="K7" s="3">
        <v>6.58</v>
      </c>
      <c r="L7" s="3">
        <v>1.06</v>
      </c>
      <c r="M7" s="3">
        <v>2.64</v>
      </c>
      <c r="N7" s="3">
        <v>7.34</v>
      </c>
      <c r="O7" s="3">
        <v>4.12</v>
      </c>
      <c r="P7" s="3">
        <v>3.61</v>
      </c>
      <c r="Q7" s="3">
        <v>0.43</v>
      </c>
      <c r="R7" s="3">
        <f t="shared" si="0"/>
        <v>60</v>
      </c>
    </row>
    <row r="8" spans="1:18">
      <c r="B8" s="1">
        <v>6</v>
      </c>
      <c r="C8" s="3">
        <v>2.44</v>
      </c>
      <c r="D8" s="3">
        <v>3.48</v>
      </c>
      <c r="E8" s="3">
        <v>2.02</v>
      </c>
      <c r="F8" s="3">
        <v>5.95</v>
      </c>
      <c r="G8" s="3">
        <v>4.27</v>
      </c>
      <c r="H8" s="3">
        <v>5.71</v>
      </c>
      <c r="I8" s="3">
        <v>0.62</v>
      </c>
      <c r="J8" s="3">
        <v>4.64</v>
      </c>
      <c r="K8" s="3">
        <v>6.96</v>
      </c>
      <c r="L8" s="3">
        <v>3.28</v>
      </c>
      <c r="M8" s="3">
        <v>0.65</v>
      </c>
      <c r="N8" s="3">
        <v>1.98</v>
      </c>
      <c r="O8" s="3">
        <v>11.81</v>
      </c>
      <c r="P8" s="3">
        <v>5.44</v>
      </c>
      <c r="Q8" s="3">
        <v>0.75</v>
      </c>
      <c r="R8" s="3">
        <f t="shared" si="0"/>
        <v>60</v>
      </c>
    </row>
    <row r="9" spans="1:18">
      <c r="B9" s="1">
        <v>7</v>
      </c>
      <c r="C9" s="3">
        <v>0.43</v>
      </c>
      <c r="D9" s="3">
        <v>4.69</v>
      </c>
      <c r="E9" s="3">
        <v>4.44</v>
      </c>
      <c r="F9" s="3">
        <v>2.42</v>
      </c>
      <c r="G9" s="3">
        <v>2.33</v>
      </c>
      <c r="H9" s="3">
        <v>4.85</v>
      </c>
      <c r="I9" s="3">
        <v>7.06</v>
      </c>
      <c r="J9" s="3">
        <v>4.6</v>
      </c>
      <c r="K9" s="3">
        <v>7</v>
      </c>
      <c r="L9" s="3">
        <v>2.16</v>
      </c>
      <c r="M9" s="3">
        <v>0.48</v>
      </c>
      <c r="N9" s="3">
        <v>1.71</v>
      </c>
      <c r="O9" s="3">
        <v>0.59</v>
      </c>
      <c r="P9" s="3">
        <v>3.2</v>
      </c>
      <c r="Q9" s="3">
        <v>14.04</v>
      </c>
      <c r="R9" s="3">
        <f t="shared" si="0"/>
        <v>60</v>
      </c>
    </row>
    <row r="10" spans="1:18">
      <c r="B10" s="1">
        <v>8</v>
      </c>
      <c r="C10" s="3">
        <v>4.48</v>
      </c>
      <c r="D10" s="3">
        <v>6.3</v>
      </c>
      <c r="E10" s="3">
        <v>7.42</v>
      </c>
      <c r="F10" s="3">
        <v>1.91</v>
      </c>
      <c r="G10" s="3">
        <v>2.08</v>
      </c>
      <c r="H10" s="3">
        <v>5.56</v>
      </c>
      <c r="I10" s="3">
        <v>6.34</v>
      </c>
      <c r="J10" s="3">
        <v>6.1</v>
      </c>
      <c r="K10" s="3">
        <v>2.96</v>
      </c>
      <c r="L10" s="3">
        <v>4.87</v>
      </c>
      <c r="M10" s="3">
        <v>0.6</v>
      </c>
      <c r="N10" s="3">
        <v>2.25</v>
      </c>
      <c r="O10" s="3">
        <v>1.91</v>
      </c>
      <c r="P10" s="3">
        <v>6.68</v>
      </c>
      <c r="Q10" s="3">
        <v>0.54</v>
      </c>
      <c r="R10" s="3">
        <f t="shared" si="0"/>
        <v>60</v>
      </c>
    </row>
    <row r="11" spans="1:18">
      <c r="B11" s="1">
        <v>9</v>
      </c>
      <c r="C11" s="3">
        <v>6.92</v>
      </c>
      <c r="D11" s="3">
        <v>1.45</v>
      </c>
      <c r="E11" s="3">
        <v>4.74</v>
      </c>
      <c r="F11" s="3">
        <v>2.18</v>
      </c>
      <c r="G11" s="3">
        <v>0.78</v>
      </c>
      <c r="H11" s="3">
        <v>1.49</v>
      </c>
      <c r="I11" s="3">
        <v>8.94</v>
      </c>
      <c r="J11" s="3">
        <v>4.53</v>
      </c>
      <c r="K11" s="3">
        <v>4.69</v>
      </c>
      <c r="L11" s="3">
        <v>2.72</v>
      </c>
      <c r="M11" s="3">
        <v>5.98</v>
      </c>
      <c r="N11" s="3">
        <v>7.27</v>
      </c>
      <c r="O11" s="3">
        <v>0.59</v>
      </c>
      <c r="P11" s="3">
        <v>2.7</v>
      </c>
      <c r="Q11" s="3">
        <v>5.02</v>
      </c>
      <c r="R11" s="3">
        <f t="shared" si="0"/>
        <v>60</v>
      </c>
    </row>
    <row r="12" spans="1:18">
      <c r="B12" s="1">
        <v>10</v>
      </c>
      <c r="C12" s="3">
        <v>4.78</v>
      </c>
      <c r="D12" s="3">
        <v>7.35</v>
      </c>
      <c r="E12" s="3">
        <v>6.52</v>
      </c>
      <c r="F12" s="3">
        <v>6.42</v>
      </c>
      <c r="G12" s="3">
        <v>0.37</v>
      </c>
      <c r="H12" s="3">
        <v>2.42</v>
      </c>
      <c r="I12" s="3">
        <v>6.5</v>
      </c>
      <c r="J12" s="3">
        <v>3.69</v>
      </c>
      <c r="K12" s="3">
        <v>2.4</v>
      </c>
      <c r="L12" s="3">
        <v>2.36</v>
      </c>
      <c r="M12" s="3">
        <v>2.61</v>
      </c>
      <c r="N12" s="3">
        <v>2.19</v>
      </c>
      <c r="O12" s="3">
        <v>0.86</v>
      </c>
      <c r="P12" s="3">
        <v>8.73</v>
      </c>
      <c r="Q12" s="3">
        <v>2.8</v>
      </c>
      <c r="R12" s="3">
        <f t="shared" si="0"/>
        <v>60</v>
      </c>
    </row>
    <row r="13" spans="1:18">
      <c r="A13" s="1" t="s">
        <v>5</v>
      </c>
      <c r="B13" s="1">
        <v>11</v>
      </c>
      <c r="C13" s="3">
        <v>1.16</v>
      </c>
      <c r="D13" s="3">
        <v>2.18</v>
      </c>
      <c r="E13" s="3">
        <v>3.18</v>
      </c>
      <c r="F13" s="3">
        <v>1.82</v>
      </c>
      <c r="G13" s="3">
        <v>4.95</v>
      </c>
      <c r="H13" s="3">
        <v>7.05</v>
      </c>
      <c r="I13" s="3">
        <v>8.76</v>
      </c>
      <c r="J13" s="3">
        <v>3.21</v>
      </c>
      <c r="K13" s="3">
        <v>0.81</v>
      </c>
      <c r="L13" s="3">
        <v>4.78</v>
      </c>
      <c r="M13" s="3">
        <v>5.42</v>
      </c>
      <c r="N13" s="3">
        <v>2.66</v>
      </c>
      <c r="O13" s="3">
        <v>7.91</v>
      </c>
      <c r="P13" s="3">
        <v>2.91</v>
      </c>
      <c r="Q13" s="3">
        <v>3.2</v>
      </c>
      <c r="R13" s="3">
        <f t="shared" si="0"/>
        <v>60</v>
      </c>
    </row>
    <row r="14" spans="1:18">
      <c r="B14" s="1">
        <v>12</v>
      </c>
      <c r="C14" s="3">
        <v>4.48</v>
      </c>
      <c r="D14" s="3">
        <v>4.84</v>
      </c>
      <c r="E14" s="3">
        <v>3.39</v>
      </c>
      <c r="F14" s="3">
        <v>1.09</v>
      </c>
      <c r="G14" s="3">
        <v>2.56</v>
      </c>
      <c r="H14" s="3">
        <v>5.63</v>
      </c>
      <c r="I14" s="3">
        <v>3.71</v>
      </c>
      <c r="J14" s="3">
        <v>2.39</v>
      </c>
      <c r="K14" s="3">
        <v>3.21</v>
      </c>
      <c r="L14" s="3">
        <v>9.03</v>
      </c>
      <c r="M14" s="3">
        <v>3.98</v>
      </c>
      <c r="N14" s="3">
        <v>3.17</v>
      </c>
      <c r="O14" s="3">
        <v>3.61</v>
      </c>
      <c r="P14" s="3">
        <v>8.51</v>
      </c>
      <c r="Q14" s="3">
        <v>0.4</v>
      </c>
      <c r="R14" s="3">
        <f t="shared" si="0"/>
        <v>60</v>
      </c>
    </row>
    <row r="15" spans="1:18">
      <c r="B15" s="1">
        <v>13</v>
      </c>
      <c r="C15" s="3">
        <v>6.18</v>
      </c>
      <c r="D15" s="3">
        <v>0.84</v>
      </c>
      <c r="E15" s="3">
        <v>3.6</v>
      </c>
      <c r="F15" s="3">
        <v>8.05</v>
      </c>
      <c r="G15" s="3">
        <v>3.22</v>
      </c>
      <c r="H15" s="3">
        <v>7.12</v>
      </c>
      <c r="I15" s="3">
        <v>4.03</v>
      </c>
      <c r="J15" s="3">
        <v>5.8</v>
      </c>
      <c r="K15" s="3">
        <v>2.43</v>
      </c>
      <c r="L15" s="3">
        <v>0.37</v>
      </c>
      <c r="M15" s="3">
        <v>6.63</v>
      </c>
      <c r="N15" s="3">
        <v>0.98</v>
      </c>
      <c r="O15" s="3">
        <v>0.35</v>
      </c>
      <c r="P15" s="3">
        <v>1.57</v>
      </c>
      <c r="Q15" s="3">
        <v>8.83</v>
      </c>
      <c r="R15" s="3">
        <f t="shared" si="0"/>
        <v>60</v>
      </c>
    </row>
    <row r="16" spans="1:18">
      <c r="B16" s="1">
        <v>14</v>
      </c>
      <c r="C16" s="3">
        <v>3.86</v>
      </c>
      <c r="D16" s="3">
        <v>7.19</v>
      </c>
      <c r="E16" s="3">
        <v>3.36</v>
      </c>
      <c r="F16" s="3">
        <v>6.06</v>
      </c>
      <c r="G16" s="3">
        <v>5.04</v>
      </c>
      <c r="H16" s="3">
        <v>4.03</v>
      </c>
      <c r="I16" s="3">
        <v>4.3</v>
      </c>
      <c r="J16" s="3">
        <v>3.07</v>
      </c>
      <c r="K16" s="3">
        <v>1.33</v>
      </c>
      <c r="L16" s="3">
        <v>6.44</v>
      </c>
      <c r="M16" s="3">
        <v>1.4</v>
      </c>
      <c r="N16" s="3">
        <v>2.32</v>
      </c>
      <c r="O16" s="3">
        <v>4.38</v>
      </c>
      <c r="P16" s="3">
        <v>5.11</v>
      </c>
      <c r="Q16" s="3">
        <v>2.11</v>
      </c>
      <c r="R16" s="3">
        <f t="shared" si="0"/>
        <v>60</v>
      </c>
    </row>
    <row r="17" spans="1:18">
      <c r="B17" s="1">
        <v>15</v>
      </c>
      <c r="C17" s="3">
        <v>7.7</v>
      </c>
      <c r="D17" s="3">
        <v>5.44</v>
      </c>
      <c r="E17" s="3">
        <v>2.6</v>
      </c>
      <c r="F17" s="3">
        <v>3.85</v>
      </c>
      <c r="G17" s="3">
        <v>2.33</v>
      </c>
      <c r="H17" s="3">
        <v>6.96</v>
      </c>
      <c r="I17" s="3">
        <v>6.28</v>
      </c>
      <c r="J17" s="3">
        <v>1.52</v>
      </c>
      <c r="K17" s="3">
        <v>5.17</v>
      </c>
      <c r="L17" s="3">
        <v>5.92</v>
      </c>
      <c r="M17" s="3">
        <v>3.35</v>
      </c>
      <c r="N17" s="3">
        <v>3.28</v>
      </c>
      <c r="O17" s="3">
        <v>3.53</v>
      </c>
      <c r="P17" s="3">
        <v>0.25</v>
      </c>
      <c r="Q17" s="3">
        <v>1.82</v>
      </c>
      <c r="R17" s="3">
        <f t="shared" si="0"/>
        <v>60</v>
      </c>
    </row>
    <row r="18" spans="1:18">
      <c r="B18" s="1">
        <v>16</v>
      </c>
      <c r="C18" s="3">
        <v>3.58</v>
      </c>
      <c r="D18" s="3">
        <v>6.02</v>
      </c>
      <c r="E18" s="3">
        <v>4.45</v>
      </c>
      <c r="F18" s="3">
        <v>0.82</v>
      </c>
      <c r="G18" s="3">
        <v>5.59</v>
      </c>
      <c r="H18" s="3">
        <v>7.75</v>
      </c>
      <c r="I18" s="3">
        <v>4.26</v>
      </c>
      <c r="J18" s="3">
        <v>3.1</v>
      </c>
      <c r="K18" s="3">
        <v>5.62</v>
      </c>
      <c r="L18" s="3">
        <v>1.32</v>
      </c>
      <c r="M18" s="3">
        <v>5.22</v>
      </c>
      <c r="N18" s="3">
        <v>4.75</v>
      </c>
      <c r="O18" s="3">
        <v>0.91</v>
      </c>
      <c r="P18" s="3">
        <v>0.92</v>
      </c>
      <c r="Q18" s="3">
        <v>5.69</v>
      </c>
      <c r="R18" s="3">
        <f t="shared" si="0"/>
        <v>60</v>
      </c>
    </row>
    <row r="19" spans="1:18">
      <c r="B19" s="1">
        <v>17</v>
      </c>
      <c r="C19" s="3">
        <v>3.13</v>
      </c>
      <c r="D19" s="3">
        <v>1.69</v>
      </c>
      <c r="E19" s="3">
        <v>4.04</v>
      </c>
      <c r="F19" s="3">
        <v>3.5</v>
      </c>
      <c r="G19" s="3">
        <v>1.42</v>
      </c>
      <c r="H19" s="3">
        <v>2.49</v>
      </c>
      <c r="I19" s="3">
        <v>3.53</v>
      </c>
      <c r="J19" s="3">
        <v>3.69</v>
      </c>
      <c r="K19" s="3">
        <v>1.02</v>
      </c>
      <c r="L19" s="3">
        <v>3.23</v>
      </c>
      <c r="M19" s="3">
        <v>1.79</v>
      </c>
      <c r="N19" s="3">
        <v>1.78</v>
      </c>
      <c r="O19" s="3">
        <v>18.07</v>
      </c>
      <c r="P19" s="3">
        <v>10.2</v>
      </c>
      <c r="Q19" s="3">
        <v>0.42</v>
      </c>
      <c r="R19" s="3">
        <f t="shared" si="0"/>
        <v>60</v>
      </c>
    </row>
    <row r="20" spans="1:18">
      <c r="B20" s="1">
        <v>18</v>
      </c>
      <c r="C20" s="3">
        <v>6.4</v>
      </c>
      <c r="D20" s="3">
        <v>6.43</v>
      </c>
      <c r="E20" s="3">
        <v>6.05</v>
      </c>
      <c r="F20" s="3">
        <v>6.34</v>
      </c>
      <c r="G20" s="3">
        <v>5.34</v>
      </c>
      <c r="H20" s="3">
        <v>2.97</v>
      </c>
      <c r="I20" s="3">
        <v>1.39</v>
      </c>
      <c r="J20" s="3">
        <v>3.49</v>
      </c>
      <c r="K20" s="3">
        <v>3.61</v>
      </c>
      <c r="L20" s="3">
        <v>3.2</v>
      </c>
      <c r="M20" s="3">
        <v>2.8</v>
      </c>
      <c r="N20" s="3">
        <v>1.33</v>
      </c>
      <c r="O20" s="3">
        <v>0.76</v>
      </c>
      <c r="P20" s="3">
        <v>5.13</v>
      </c>
      <c r="Q20" s="3">
        <v>4.76</v>
      </c>
      <c r="R20" s="3">
        <f t="shared" si="0"/>
        <v>60</v>
      </c>
    </row>
    <row r="21" spans="1:18">
      <c r="B21" s="1">
        <v>19</v>
      </c>
      <c r="C21" s="3">
        <v>7.29</v>
      </c>
      <c r="D21" s="3">
        <v>0.4</v>
      </c>
      <c r="E21" s="3">
        <v>2.76</v>
      </c>
      <c r="F21" s="3">
        <v>4.2</v>
      </c>
      <c r="G21" s="3">
        <v>0.44</v>
      </c>
      <c r="H21" s="3">
        <v>2.32</v>
      </c>
      <c r="I21" s="3">
        <v>8.42</v>
      </c>
      <c r="J21" s="3">
        <v>1.94</v>
      </c>
      <c r="K21" s="3">
        <v>3.52</v>
      </c>
      <c r="L21" s="3">
        <v>7.92</v>
      </c>
      <c r="M21" s="3">
        <v>2.51</v>
      </c>
      <c r="N21" s="3">
        <v>0.8</v>
      </c>
      <c r="O21" s="3">
        <v>9.78</v>
      </c>
      <c r="P21" s="3">
        <v>3</v>
      </c>
      <c r="Q21" s="3">
        <v>4.7</v>
      </c>
      <c r="R21" s="3">
        <f t="shared" si="0"/>
        <v>60</v>
      </c>
    </row>
    <row r="22" spans="1:18">
      <c r="B22" s="1">
        <v>20</v>
      </c>
      <c r="C22" s="3">
        <v>4.07</v>
      </c>
      <c r="D22" s="3">
        <v>6.62</v>
      </c>
      <c r="E22" s="3">
        <v>2.5</v>
      </c>
      <c r="F22" s="3">
        <v>0.39</v>
      </c>
      <c r="G22" s="3">
        <v>2.81</v>
      </c>
      <c r="H22" s="3">
        <v>3.35</v>
      </c>
      <c r="I22" s="3">
        <v>1.48</v>
      </c>
      <c r="J22" s="3">
        <v>8.85</v>
      </c>
      <c r="K22" s="3">
        <v>1.72</v>
      </c>
      <c r="L22" s="3">
        <v>0.47</v>
      </c>
      <c r="M22" s="3">
        <v>8.27</v>
      </c>
      <c r="N22" s="3">
        <v>8.01</v>
      </c>
      <c r="O22" s="3">
        <v>2.58</v>
      </c>
      <c r="P22" s="3">
        <v>5.81</v>
      </c>
      <c r="Q22" s="3">
        <v>3.07</v>
      </c>
      <c r="R22" s="3">
        <f t="shared" si="0"/>
        <v>60</v>
      </c>
    </row>
    <row r="23" spans="1:18">
      <c r="A23" s="1" t="s">
        <v>6</v>
      </c>
      <c r="B23" s="1">
        <v>21</v>
      </c>
      <c r="C23" s="3">
        <v>4.65</v>
      </c>
      <c r="D23" s="3">
        <v>4.55</v>
      </c>
      <c r="E23" s="3">
        <v>5.03</v>
      </c>
      <c r="F23" s="3">
        <v>0.8</v>
      </c>
      <c r="G23" s="3">
        <v>4</v>
      </c>
      <c r="H23" s="3">
        <v>7.53</v>
      </c>
      <c r="I23" s="3">
        <v>1.73</v>
      </c>
      <c r="J23" s="3">
        <v>2.21</v>
      </c>
      <c r="K23" s="3">
        <v>4.3</v>
      </c>
      <c r="L23" s="3">
        <v>8.14</v>
      </c>
      <c r="M23" s="3">
        <v>5.23</v>
      </c>
      <c r="N23" s="3">
        <v>1.58</v>
      </c>
      <c r="O23" s="3">
        <v>0.62</v>
      </c>
      <c r="P23" s="3">
        <v>3.94</v>
      </c>
      <c r="Q23" s="3">
        <v>5.69</v>
      </c>
      <c r="R23" s="3">
        <f t="shared" si="0"/>
        <v>60</v>
      </c>
    </row>
    <row r="24" spans="1:18">
      <c r="B24" s="1">
        <v>22</v>
      </c>
      <c r="C24" s="3">
        <v>1.44</v>
      </c>
      <c r="D24" s="3">
        <v>5.15</v>
      </c>
      <c r="E24" s="3">
        <v>7.74</v>
      </c>
      <c r="F24" s="3">
        <v>5.29</v>
      </c>
      <c r="G24" s="3">
        <v>2.66</v>
      </c>
      <c r="H24" s="3">
        <v>5.32</v>
      </c>
      <c r="I24" s="3">
        <v>0.41</v>
      </c>
      <c r="J24" s="3">
        <v>5.32</v>
      </c>
      <c r="K24" s="3">
        <v>1.35</v>
      </c>
      <c r="L24" s="3">
        <v>2.3</v>
      </c>
      <c r="M24" s="3">
        <v>2.05</v>
      </c>
      <c r="N24" s="3">
        <v>8.81</v>
      </c>
      <c r="O24" s="3">
        <v>4.47</v>
      </c>
      <c r="P24" s="3">
        <v>5.69</v>
      </c>
      <c r="Q24" s="3">
        <v>2</v>
      </c>
      <c r="R24" s="3">
        <f t="shared" si="0"/>
        <v>60</v>
      </c>
    </row>
    <row r="25" spans="1:18">
      <c r="B25" s="1">
        <v>23</v>
      </c>
      <c r="C25" s="3">
        <v>0.4</v>
      </c>
      <c r="D25" s="3">
        <v>8.34</v>
      </c>
      <c r="E25" s="3">
        <v>2.78</v>
      </c>
      <c r="F25" s="3">
        <v>3.51</v>
      </c>
      <c r="G25" s="3">
        <v>7.97</v>
      </c>
      <c r="H25" s="3">
        <v>4.42</v>
      </c>
      <c r="I25" s="3">
        <v>4.61</v>
      </c>
      <c r="J25" s="3">
        <v>3.56</v>
      </c>
      <c r="K25" s="3">
        <v>3.6</v>
      </c>
      <c r="L25" s="3">
        <v>3.32</v>
      </c>
      <c r="M25" s="3">
        <v>1.66</v>
      </c>
      <c r="N25" s="3">
        <v>1.06</v>
      </c>
      <c r="O25" s="3">
        <v>3.15</v>
      </c>
      <c r="P25" s="3">
        <v>7.8</v>
      </c>
      <c r="Q25" s="3">
        <v>3.82</v>
      </c>
      <c r="R25" s="3">
        <f t="shared" si="0"/>
        <v>60</v>
      </c>
    </row>
    <row r="26" spans="1:18">
      <c r="B26" s="1">
        <v>24</v>
      </c>
      <c r="C26" s="3">
        <v>5.08</v>
      </c>
      <c r="D26" s="3">
        <v>0.77</v>
      </c>
      <c r="E26" s="3">
        <v>5.36</v>
      </c>
      <c r="F26" s="3">
        <v>3.06</v>
      </c>
      <c r="G26" s="3">
        <v>0.41</v>
      </c>
      <c r="H26" s="3">
        <v>4.51</v>
      </c>
      <c r="I26" s="3">
        <v>5.75</v>
      </c>
      <c r="J26" s="3">
        <v>7.16</v>
      </c>
      <c r="K26" s="3">
        <v>2.9</v>
      </c>
      <c r="L26" s="3">
        <v>7.45</v>
      </c>
      <c r="M26" s="3">
        <v>5.75</v>
      </c>
      <c r="N26" s="3">
        <v>1.49</v>
      </c>
      <c r="O26" s="3">
        <v>3.91</v>
      </c>
      <c r="P26" s="3">
        <v>4.04</v>
      </c>
      <c r="Q26" s="3">
        <v>2.36</v>
      </c>
      <c r="R26" s="3">
        <f t="shared" si="0"/>
        <v>60</v>
      </c>
    </row>
    <row r="27" spans="1:18">
      <c r="B27" s="1">
        <v>25</v>
      </c>
      <c r="C27" s="3">
        <v>3.27</v>
      </c>
      <c r="D27" s="3">
        <v>6.56</v>
      </c>
      <c r="E27" s="3">
        <v>4.91</v>
      </c>
      <c r="F27" s="3">
        <v>6.91</v>
      </c>
      <c r="G27" s="3">
        <v>3.06</v>
      </c>
      <c r="H27" s="3">
        <v>0.35</v>
      </c>
      <c r="I27" s="3">
        <v>7.74</v>
      </c>
      <c r="J27" s="3">
        <v>3.56</v>
      </c>
      <c r="K27" s="3">
        <v>4.31</v>
      </c>
      <c r="L27" s="3">
        <v>2.37</v>
      </c>
      <c r="M27" s="3">
        <v>3.39</v>
      </c>
      <c r="N27" s="3">
        <v>4.23</v>
      </c>
      <c r="O27" s="3">
        <v>0.67</v>
      </c>
      <c r="P27" s="3">
        <v>0.57</v>
      </c>
      <c r="Q27" s="3">
        <v>8.1</v>
      </c>
      <c r="R27" s="3">
        <f t="shared" si="0"/>
        <v>60</v>
      </c>
    </row>
    <row r="28" spans="1:18">
      <c r="B28" s="1">
        <v>26</v>
      </c>
      <c r="C28" s="3">
        <v>1.44</v>
      </c>
      <c r="D28" s="3">
        <v>8.16</v>
      </c>
      <c r="E28" s="3">
        <v>0.38</v>
      </c>
      <c r="F28" s="3">
        <v>7.1</v>
      </c>
      <c r="G28" s="3">
        <v>3.45</v>
      </c>
      <c r="H28" s="3">
        <v>4.01</v>
      </c>
      <c r="I28" s="3">
        <v>2.98</v>
      </c>
      <c r="J28" s="3">
        <v>1.3</v>
      </c>
      <c r="K28" s="3">
        <v>7.45</v>
      </c>
      <c r="L28" s="3">
        <v>4.49</v>
      </c>
      <c r="M28" s="3">
        <v>3.06</v>
      </c>
      <c r="N28" s="3">
        <v>0.83</v>
      </c>
      <c r="O28" s="3">
        <v>1.9</v>
      </c>
      <c r="P28" s="3">
        <v>12.13</v>
      </c>
      <c r="Q28" s="3">
        <v>1.32</v>
      </c>
      <c r="R28" s="3">
        <f t="shared" si="0"/>
        <v>60</v>
      </c>
    </row>
    <row r="29" spans="1:18">
      <c r="B29" s="1">
        <v>27</v>
      </c>
      <c r="C29" s="3">
        <v>5.99</v>
      </c>
      <c r="D29" s="3">
        <v>6.76</v>
      </c>
      <c r="E29" s="3">
        <v>1.52</v>
      </c>
      <c r="F29" s="3">
        <v>3.24</v>
      </c>
      <c r="G29" s="3">
        <v>6.11</v>
      </c>
      <c r="H29" s="3">
        <v>3.22</v>
      </c>
      <c r="I29" s="3">
        <v>6.74</v>
      </c>
      <c r="J29" s="3">
        <v>5.24</v>
      </c>
      <c r="K29" s="3">
        <v>0.68</v>
      </c>
      <c r="L29" s="3">
        <v>0.5</v>
      </c>
      <c r="M29" s="3">
        <v>0.4</v>
      </c>
      <c r="N29" s="3">
        <v>3.58</v>
      </c>
      <c r="O29" s="3">
        <v>7.05</v>
      </c>
      <c r="P29" s="3">
        <v>7.45</v>
      </c>
      <c r="Q29" s="3">
        <v>1.52</v>
      </c>
      <c r="R29" s="3">
        <f t="shared" si="0"/>
        <v>60</v>
      </c>
    </row>
    <row r="30" spans="1:18">
      <c r="B30" s="1">
        <v>28</v>
      </c>
      <c r="C30" s="3">
        <v>0.62</v>
      </c>
      <c r="D30" s="3">
        <v>7.19</v>
      </c>
      <c r="E30" s="3">
        <v>5.56</v>
      </c>
      <c r="F30" s="3">
        <v>7.06</v>
      </c>
      <c r="G30" s="3">
        <v>1.53</v>
      </c>
      <c r="H30" s="3">
        <v>3.55</v>
      </c>
      <c r="I30" s="3">
        <v>3.83</v>
      </c>
      <c r="J30" s="3">
        <v>4.58</v>
      </c>
      <c r="K30" s="3">
        <v>1.94</v>
      </c>
      <c r="L30" s="3">
        <v>2.35</v>
      </c>
      <c r="M30" s="3">
        <v>8.2</v>
      </c>
      <c r="N30" s="3">
        <v>1.15</v>
      </c>
      <c r="O30" s="3">
        <v>4.21</v>
      </c>
      <c r="P30" s="3">
        <v>7.15</v>
      </c>
      <c r="Q30" s="3">
        <v>1.08</v>
      </c>
      <c r="R30" s="3">
        <f t="shared" si="0"/>
        <v>60</v>
      </c>
    </row>
    <row r="31" spans="1:18">
      <c r="B31" s="1">
        <v>29</v>
      </c>
      <c r="C31" s="3">
        <v>5.82</v>
      </c>
      <c r="D31" s="3">
        <v>6.66</v>
      </c>
      <c r="E31" s="3">
        <v>1.39</v>
      </c>
      <c r="F31" s="3">
        <v>2.15</v>
      </c>
      <c r="G31" s="3">
        <v>7.45</v>
      </c>
      <c r="H31" s="3">
        <v>1.13</v>
      </c>
      <c r="I31" s="3">
        <v>3.12</v>
      </c>
      <c r="J31" s="3">
        <v>1.29</v>
      </c>
      <c r="K31" s="3">
        <v>5.75</v>
      </c>
      <c r="L31" s="3">
        <v>0.89</v>
      </c>
      <c r="M31" s="3">
        <v>3.37</v>
      </c>
      <c r="N31" s="3">
        <v>3.89</v>
      </c>
      <c r="O31" s="3">
        <v>6.64</v>
      </c>
      <c r="P31" s="3">
        <v>9.75</v>
      </c>
      <c r="Q31" s="3">
        <v>0.7</v>
      </c>
      <c r="R31" s="3">
        <f t="shared" si="0"/>
        <v>60</v>
      </c>
    </row>
    <row r="32" spans="1:18">
      <c r="B32" s="1">
        <v>30</v>
      </c>
      <c r="C32" s="3">
        <v>3.91</v>
      </c>
      <c r="D32" s="3">
        <v>1.97</v>
      </c>
      <c r="E32" s="3">
        <v>8.15</v>
      </c>
      <c r="F32" s="3">
        <v>2.23</v>
      </c>
      <c r="G32" s="3">
        <v>5.9</v>
      </c>
      <c r="H32" s="3">
        <v>3.49</v>
      </c>
      <c r="I32" s="3">
        <v>3.8</v>
      </c>
      <c r="J32" s="3">
        <v>6.99</v>
      </c>
      <c r="K32" s="3">
        <v>0.33</v>
      </c>
      <c r="L32" s="3">
        <v>1.66</v>
      </c>
      <c r="M32" s="3">
        <v>5.62</v>
      </c>
      <c r="N32" s="3">
        <v>1.13</v>
      </c>
      <c r="O32" s="3">
        <v>4.71</v>
      </c>
      <c r="P32" s="3">
        <v>3.07</v>
      </c>
      <c r="Q32" s="3">
        <v>7.04</v>
      </c>
      <c r="R32" s="3">
        <f t="shared" si="0"/>
        <v>60</v>
      </c>
    </row>
    <row r="33" spans="1:18">
      <c r="B33" s="1">
        <v>31</v>
      </c>
      <c r="C33" s="3">
        <v>3.24</v>
      </c>
      <c r="D33" s="3">
        <v>7.67</v>
      </c>
      <c r="E33" s="3">
        <v>6.99</v>
      </c>
      <c r="F33" s="3">
        <v>2.06</v>
      </c>
      <c r="G33" s="3">
        <v>0.45</v>
      </c>
      <c r="H33" s="3">
        <v>6.9</v>
      </c>
      <c r="I33" s="3">
        <v>6.86</v>
      </c>
      <c r="J33" s="3">
        <v>2.73</v>
      </c>
      <c r="K33" s="3">
        <v>5.41</v>
      </c>
      <c r="L33" s="3">
        <v>3.6</v>
      </c>
      <c r="M33" s="3">
        <v>4</v>
      </c>
      <c r="N33" s="3">
        <v>4.03</v>
      </c>
      <c r="O33" s="3">
        <v>0.22</v>
      </c>
      <c r="P33" s="3">
        <v>4.66</v>
      </c>
      <c r="Q33" s="3">
        <v>1.18</v>
      </c>
      <c r="R33" s="3">
        <f t="shared" si="0"/>
        <v>60</v>
      </c>
    </row>
    <row r="34" spans="1:18">
      <c r="B34" s="1">
        <v>32</v>
      </c>
      <c r="C34" s="3">
        <v>5.81</v>
      </c>
      <c r="D34" s="3">
        <v>4.76</v>
      </c>
      <c r="E34" s="3">
        <v>1.46</v>
      </c>
      <c r="F34" s="3">
        <v>1.15</v>
      </c>
      <c r="G34" s="3">
        <v>0.6</v>
      </c>
      <c r="H34" s="3">
        <v>5.13</v>
      </c>
      <c r="I34" s="3">
        <v>8.83</v>
      </c>
      <c r="J34" s="3">
        <v>3.21</v>
      </c>
      <c r="K34" s="3">
        <v>5.44</v>
      </c>
      <c r="L34" s="3">
        <v>5.12</v>
      </c>
      <c r="M34" s="3">
        <v>1.32</v>
      </c>
      <c r="N34" s="3">
        <v>6.96</v>
      </c>
      <c r="O34" s="3">
        <v>4.46</v>
      </c>
      <c r="P34" s="3">
        <v>4.26</v>
      </c>
      <c r="Q34" s="3">
        <v>1.49</v>
      </c>
      <c r="R34" s="3">
        <f t="shared" si="0"/>
        <v>60</v>
      </c>
    </row>
    <row r="35" spans="1:18">
      <c r="B35" s="1">
        <v>33</v>
      </c>
      <c r="C35" s="3">
        <v>1.01</v>
      </c>
      <c r="D35" s="3">
        <v>1.99</v>
      </c>
      <c r="E35" s="3">
        <v>4.37</v>
      </c>
      <c r="F35" s="3">
        <v>8.55</v>
      </c>
      <c r="G35" s="3">
        <v>5.61</v>
      </c>
      <c r="H35" s="3">
        <v>5.99</v>
      </c>
      <c r="I35" s="3">
        <v>2.43</v>
      </c>
      <c r="J35" s="3">
        <v>0.81</v>
      </c>
      <c r="K35" s="3">
        <v>5.9</v>
      </c>
      <c r="L35" s="3">
        <v>4.52</v>
      </c>
      <c r="M35" s="3">
        <v>5.56</v>
      </c>
      <c r="N35" s="3">
        <v>4.49</v>
      </c>
      <c r="O35" s="3">
        <v>1.04</v>
      </c>
      <c r="P35" s="3">
        <v>5.87</v>
      </c>
      <c r="Q35" s="3">
        <v>1.86</v>
      </c>
      <c r="R35" s="3">
        <f t="shared" si="0"/>
        <v>60</v>
      </c>
    </row>
    <row r="36" spans="1:18">
      <c r="A36" s="1" t="s">
        <v>7</v>
      </c>
      <c r="B36" s="1">
        <v>34</v>
      </c>
      <c r="C36" s="3">
        <v>2.09</v>
      </c>
      <c r="D36" s="3">
        <v>5.27</v>
      </c>
      <c r="E36" s="3">
        <v>4.98</v>
      </c>
      <c r="F36" s="3">
        <v>0.61</v>
      </c>
      <c r="G36" s="3">
        <v>0.81</v>
      </c>
      <c r="H36" s="3">
        <v>5.28</v>
      </c>
      <c r="I36" s="3">
        <v>1.61</v>
      </c>
      <c r="J36" s="3">
        <v>4.33</v>
      </c>
      <c r="K36" s="3">
        <v>7.73</v>
      </c>
      <c r="L36" s="3">
        <v>4.7</v>
      </c>
      <c r="M36" s="3">
        <v>7.85</v>
      </c>
      <c r="N36" s="3">
        <v>4</v>
      </c>
      <c r="O36" s="3">
        <v>1.53</v>
      </c>
      <c r="P36" s="3">
        <v>5.85</v>
      </c>
      <c r="Q36" s="3">
        <v>3.36</v>
      </c>
      <c r="R36" s="3">
        <f t="shared" si="0"/>
        <v>60</v>
      </c>
    </row>
    <row r="37" spans="1:18">
      <c r="B37" s="1">
        <v>35</v>
      </c>
      <c r="C37" s="3">
        <v>5.61</v>
      </c>
      <c r="D37" s="3">
        <v>7.19</v>
      </c>
      <c r="E37" s="3">
        <v>2.69</v>
      </c>
      <c r="F37" s="3">
        <v>0.79</v>
      </c>
      <c r="G37" s="3">
        <v>4.53</v>
      </c>
      <c r="H37" s="3">
        <v>7.03</v>
      </c>
      <c r="I37" s="3">
        <v>4.14</v>
      </c>
      <c r="J37" s="3">
        <v>1.33</v>
      </c>
      <c r="K37" s="3">
        <v>4.94</v>
      </c>
      <c r="L37" s="3">
        <v>4.22</v>
      </c>
      <c r="M37" s="3">
        <v>4.02</v>
      </c>
      <c r="N37" s="3">
        <v>0.33</v>
      </c>
      <c r="O37" s="3">
        <v>3.69</v>
      </c>
      <c r="P37" s="3">
        <v>2.05</v>
      </c>
      <c r="Q37" s="3">
        <v>7.44</v>
      </c>
      <c r="R37" s="3">
        <f t="shared" si="0"/>
        <v>60</v>
      </c>
    </row>
    <row r="38" spans="1:18">
      <c r="B38" s="1">
        <v>36</v>
      </c>
      <c r="C38" s="3">
        <v>3.88</v>
      </c>
      <c r="D38" s="3">
        <v>7.29</v>
      </c>
      <c r="E38" s="3">
        <v>2.06</v>
      </c>
      <c r="F38" s="3">
        <v>4.87</v>
      </c>
      <c r="G38" s="3">
        <v>5.77</v>
      </c>
      <c r="H38" s="3">
        <v>5.91</v>
      </c>
      <c r="I38" s="3">
        <v>0.93</v>
      </c>
      <c r="J38" s="3">
        <v>6.75</v>
      </c>
      <c r="K38" s="3">
        <v>4.02</v>
      </c>
      <c r="L38" s="3">
        <v>3.32</v>
      </c>
      <c r="M38" s="3">
        <v>0.71</v>
      </c>
      <c r="N38" s="3">
        <v>3.56</v>
      </c>
      <c r="O38" s="3">
        <v>0.67</v>
      </c>
      <c r="P38" s="3">
        <v>5.38</v>
      </c>
      <c r="Q38" s="3">
        <v>4.88</v>
      </c>
      <c r="R38" s="3">
        <f t="shared" si="0"/>
        <v>60</v>
      </c>
    </row>
    <row r="39" spans="1:18">
      <c r="B39" s="1">
        <v>37</v>
      </c>
      <c r="C39" s="3">
        <v>7.38</v>
      </c>
      <c r="D39" s="3">
        <v>2.61</v>
      </c>
      <c r="E39" s="3">
        <v>1.38</v>
      </c>
      <c r="F39" s="3">
        <v>1.15</v>
      </c>
      <c r="G39" s="3">
        <v>5</v>
      </c>
      <c r="H39" s="3">
        <v>1.17</v>
      </c>
      <c r="I39" s="3">
        <v>8.82</v>
      </c>
      <c r="J39" s="3">
        <v>4.18</v>
      </c>
      <c r="K39" s="3">
        <v>3.28</v>
      </c>
      <c r="L39" s="3">
        <v>1.86</v>
      </c>
      <c r="M39" s="3">
        <v>5.55</v>
      </c>
      <c r="N39" s="3">
        <v>8.58</v>
      </c>
      <c r="O39" s="3">
        <v>1.38</v>
      </c>
      <c r="P39" s="3">
        <v>5.7</v>
      </c>
      <c r="Q39" s="3">
        <v>1.96</v>
      </c>
      <c r="R39" s="3">
        <f t="shared" si="0"/>
        <v>60</v>
      </c>
    </row>
    <row r="40" spans="1:18">
      <c r="B40" s="1">
        <v>38</v>
      </c>
      <c r="C40" s="3">
        <v>3.76</v>
      </c>
      <c r="D40" s="3">
        <v>4.63</v>
      </c>
      <c r="E40" s="3">
        <v>2.53</v>
      </c>
      <c r="F40" s="3">
        <v>6.9</v>
      </c>
      <c r="G40" s="3">
        <v>4.37</v>
      </c>
      <c r="H40" s="3">
        <v>0.37</v>
      </c>
      <c r="I40" s="3">
        <v>0.7</v>
      </c>
      <c r="J40" s="3">
        <v>9.15</v>
      </c>
      <c r="K40" s="3">
        <v>4.02</v>
      </c>
      <c r="L40" s="3">
        <v>3.56</v>
      </c>
      <c r="M40" s="3">
        <v>7.64</v>
      </c>
      <c r="N40" s="3">
        <v>2.95</v>
      </c>
      <c r="O40" s="3">
        <v>4.08</v>
      </c>
      <c r="P40" s="3">
        <v>0.89</v>
      </c>
      <c r="Q40" s="3">
        <v>4.45</v>
      </c>
      <c r="R40" s="3">
        <f t="shared" si="0"/>
        <v>60</v>
      </c>
    </row>
    <row r="41" spans="1:18">
      <c r="B41" s="1">
        <v>39</v>
      </c>
      <c r="C41" s="3">
        <v>4.61</v>
      </c>
      <c r="D41" s="3">
        <v>7.89</v>
      </c>
      <c r="E41" s="3">
        <v>4.36</v>
      </c>
      <c r="F41" s="3">
        <v>0.65</v>
      </c>
      <c r="G41" s="3">
        <v>4.81</v>
      </c>
      <c r="H41" s="3">
        <v>3.11</v>
      </c>
      <c r="I41" s="3">
        <v>0.38</v>
      </c>
      <c r="J41" s="3">
        <v>5.58</v>
      </c>
      <c r="K41" s="3">
        <v>7.08</v>
      </c>
      <c r="L41" s="3">
        <v>2.73</v>
      </c>
      <c r="M41" s="3">
        <v>0.76</v>
      </c>
      <c r="N41" s="3">
        <v>7.66</v>
      </c>
      <c r="O41" s="3">
        <v>1.03</v>
      </c>
      <c r="P41" s="3">
        <v>8.16</v>
      </c>
      <c r="Q41" s="3">
        <v>1.19</v>
      </c>
      <c r="R41" s="3">
        <f t="shared" si="0"/>
        <v>60</v>
      </c>
    </row>
    <row r="42" spans="1:18">
      <c r="B42" s="1">
        <v>40</v>
      </c>
      <c r="C42" s="3">
        <v>5.28</v>
      </c>
      <c r="D42" s="3">
        <v>6.89</v>
      </c>
      <c r="E42" s="3">
        <v>1.3</v>
      </c>
      <c r="F42" s="3">
        <v>5.22</v>
      </c>
      <c r="G42" s="3">
        <v>6.78</v>
      </c>
      <c r="H42" s="3">
        <v>6.64</v>
      </c>
      <c r="I42" s="3">
        <v>1.38</v>
      </c>
      <c r="J42" s="3">
        <v>5.84</v>
      </c>
      <c r="K42" s="3">
        <v>1.09</v>
      </c>
      <c r="L42" s="3">
        <v>2.34</v>
      </c>
      <c r="M42" s="3">
        <v>0.76</v>
      </c>
      <c r="N42" s="3">
        <v>4.27</v>
      </c>
      <c r="O42" s="3">
        <v>3.29</v>
      </c>
      <c r="P42" s="3">
        <v>0.44</v>
      </c>
      <c r="Q42" s="3">
        <v>8.48</v>
      </c>
      <c r="R42" s="3">
        <f t="shared" si="0"/>
        <v>60</v>
      </c>
    </row>
    <row r="43" spans="1:18">
      <c r="A43" s="1" t="s">
        <v>8</v>
      </c>
      <c r="B43" s="1">
        <v>41</v>
      </c>
      <c r="C43" s="3">
        <v>1.8</v>
      </c>
      <c r="D43" s="3">
        <v>0.53</v>
      </c>
      <c r="E43" s="3">
        <v>1.17</v>
      </c>
      <c r="F43" s="3">
        <v>5.34</v>
      </c>
      <c r="G43" s="3">
        <v>6.83</v>
      </c>
      <c r="H43" s="3">
        <v>0.58</v>
      </c>
      <c r="I43" s="3">
        <v>7.14</v>
      </c>
      <c r="J43" s="3">
        <v>0.45</v>
      </c>
      <c r="K43" s="3">
        <v>6.69</v>
      </c>
      <c r="L43" s="3">
        <v>5.11</v>
      </c>
      <c r="M43" s="3">
        <v>7.35</v>
      </c>
      <c r="N43" s="3">
        <v>8.44</v>
      </c>
      <c r="O43" s="3">
        <v>5.64</v>
      </c>
      <c r="P43" s="3">
        <v>2.38</v>
      </c>
      <c r="Q43" s="3">
        <v>0.55</v>
      </c>
      <c r="R43" s="3">
        <f t="shared" si="0"/>
        <v>60</v>
      </c>
    </row>
    <row r="44" spans="1:18">
      <c r="B44" s="1">
        <v>42</v>
      </c>
      <c r="C44" s="3">
        <v>6.74</v>
      </c>
      <c r="D44" s="3">
        <v>5.56</v>
      </c>
      <c r="E44" s="3">
        <v>2.4</v>
      </c>
      <c r="F44" s="3">
        <v>7.4</v>
      </c>
      <c r="G44" s="3">
        <v>6.31</v>
      </c>
      <c r="H44" s="3">
        <v>1.79</v>
      </c>
      <c r="I44" s="3">
        <v>4.05</v>
      </c>
      <c r="J44" s="3">
        <v>5.87</v>
      </c>
      <c r="K44" s="3">
        <v>0.28</v>
      </c>
      <c r="L44" s="3">
        <v>0.83</v>
      </c>
      <c r="M44" s="3">
        <v>2.28</v>
      </c>
      <c r="N44" s="3">
        <v>2.25</v>
      </c>
      <c r="O44" s="3">
        <v>2.68</v>
      </c>
      <c r="P44" s="3">
        <v>9.53</v>
      </c>
      <c r="Q44" s="3">
        <v>2.03</v>
      </c>
      <c r="R44" s="3">
        <f t="shared" si="0"/>
        <v>60</v>
      </c>
    </row>
    <row r="45" spans="1:18">
      <c r="B45" s="1">
        <v>43</v>
      </c>
      <c r="C45" s="3">
        <v>6.23</v>
      </c>
      <c r="D45" s="3">
        <v>1.4</v>
      </c>
      <c r="E45" s="3">
        <v>4.38</v>
      </c>
      <c r="F45" s="3">
        <v>7.85</v>
      </c>
      <c r="G45" s="3">
        <v>6.94</v>
      </c>
      <c r="H45" s="3">
        <v>4.78</v>
      </c>
      <c r="I45" s="3">
        <v>0.31</v>
      </c>
      <c r="J45" s="3">
        <v>1.22</v>
      </c>
      <c r="K45" s="3">
        <v>4</v>
      </c>
      <c r="L45" s="3">
        <v>2.34</v>
      </c>
      <c r="M45" s="3">
        <v>6.01</v>
      </c>
      <c r="N45" s="3">
        <v>7.08</v>
      </c>
      <c r="O45" s="3">
        <v>2.52</v>
      </c>
      <c r="P45" s="3">
        <v>2.98</v>
      </c>
      <c r="Q45" s="3">
        <v>1.96</v>
      </c>
      <c r="R45" s="3">
        <f t="shared" si="0"/>
        <v>60</v>
      </c>
    </row>
    <row r="46" spans="1:18">
      <c r="B46" s="1">
        <v>44</v>
      </c>
      <c r="C46" s="3">
        <v>4.6</v>
      </c>
      <c r="D46" s="3">
        <v>2.59</v>
      </c>
      <c r="E46" s="3">
        <v>7.36</v>
      </c>
      <c r="F46" s="3">
        <v>5.68</v>
      </c>
      <c r="G46" s="3">
        <v>6.09</v>
      </c>
      <c r="H46" s="3">
        <v>3.69</v>
      </c>
      <c r="I46" s="3">
        <v>5.65</v>
      </c>
      <c r="J46" s="3">
        <v>0.79</v>
      </c>
      <c r="K46" s="3">
        <v>0.9</v>
      </c>
      <c r="L46" s="3">
        <v>5.99</v>
      </c>
      <c r="M46" s="3">
        <v>4.95</v>
      </c>
      <c r="N46" s="3">
        <v>3.62</v>
      </c>
      <c r="O46" s="3">
        <v>4.04</v>
      </c>
      <c r="P46" s="3">
        <v>3.51</v>
      </c>
      <c r="Q46" s="3">
        <v>0.54</v>
      </c>
      <c r="R46" s="3">
        <f t="shared" si="0"/>
        <v>60</v>
      </c>
    </row>
    <row r="47" spans="1:18">
      <c r="B47" s="1">
        <v>45</v>
      </c>
      <c r="C47" s="3">
        <v>6.52</v>
      </c>
      <c r="D47" s="3">
        <v>1.06</v>
      </c>
      <c r="E47" s="3">
        <v>0.45</v>
      </c>
      <c r="F47" s="3">
        <v>4.4</v>
      </c>
      <c r="G47" s="3">
        <v>0.91</v>
      </c>
      <c r="H47" s="3">
        <v>2.18</v>
      </c>
      <c r="I47" s="3">
        <v>0.68</v>
      </c>
      <c r="J47" s="3">
        <v>7.91</v>
      </c>
      <c r="K47" s="3">
        <v>5.39</v>
      </c>
      <c r="L47" s="3">
        <v>1.82</v>
      </c>
      <c r="M47" s="3">
        <v>3.8</v>
      </c>
      <c r="N47" s="3">
        <v>4.76</v>
      </c>
      <c r="O47" s="3">
        <v>9.48</v>
      </c>
      <c r="P47" s="3">
        <v>6.46</v>
      </c>
      <c r="Q47" s="3">
        <v>4.18</v>
      </c>
      <c r="R47" s="3">
        <f t="shared" si="0"/>
        <v>60</v>
      </c>
    </row>
    <row r="48" spans="1:18">
      <c r="B48" s="1">
        <v>46</v>
      </c>
      <c r="C48" s="3">
        <v>4.4</v>
      </c>
      <c r="D48" s="3">
        <v>1.58</v>
      </c>
      <c r="E48" s="3">
        <v>0.49</v>
      </c>
      <c r="F48" s="3">
        <v>4.62</v>
      </c>
      <c r="G48" s="3">
        <v>3.41</v>
      </c>
      <c r="H48" s="3">
        <v>1.56</v>
      </c>
      <c r="I48" s="3">
        <v>1.91</v>
      </c>
      <c r="J48" s="3">
        <v>7.88</v>
      </c>
      <c r="K48" s="3">
        <v>4.14</v>
      </c>
      <c r="L48" s="3">
        <v>3.09</v>
      </c>
      <c r="M48" s="3">
        <v>5.35</v>
      </c>
      <c r="N48" s="3">
        <v>7.6</v>
      </c>
      <c r="O48" s="3">
        <v>7.26</v>
      </c>
      <c r="P48" s="3">
        <v>5.05</v>
      </c>
      <c r="Q48" s="3">
        <v>1.66</v>
      </c>
      <c r="R48" s="3">
        <f t="shared" si="0"/>
        <v>60</v>
      </c>
    </row>
    <row r="49" spans="1:18">
      <c r="B49" s="1">
        <v>47</v>
      </c>
      <c r="C49" s="3">
        <v>2.53</v>
      </c>
      <c r="D49" s="3">
        <v>0.58</v>
      </c>
      <c r="E49" s="3">
        <v>2.97</v>
      </c>
      <c r="F49" s="3">
        <v>7.46</v>
      </c>
      <c r="G49" s="3">
        <v>8.22</v>
      </c>
      <c r="H49" s="3">
        <v>5.81</v>
      </c>
      <c r="I49" s="3">
        <v>6.42</v>
      </c>
      <c r="J49" s="3">
        <v>0.32</v>
      </c>
      <c r="K49" s="3">
        <v>1.85</v>
      </c>
      <c r="L49" s="3">
        <v>6.78</v>
      </c>
      <c r="M49" s="3">
        <v>5.63</v>
      </c>
      <c r="N49" s="3">
        <v>3.89</v>
      </c>
      <c r="O49" s="3">
        <v>3.13</v>
      </c>
      <c r="P49" s="3">
        <v>3.66</v>
      </c>
      <c r="Q49" s="3">
        <v>0.75</v>
      </c>
      <c r="R49" s="3">
        <f t="shared" si="0"/>
        <v>60</v>
      </c>
    </row>
    <row r="50" spans="1:18">
      <c r="B50" s="1">
        <v>48</v>
      </c>
      <c r="C50" s="3">
        <v>5.05</v>
      </c>
      <c r="D50" s="3">
        <v>1.32</v>
      </c>
      <c r="E50" s="3">
        <v>4.93</v>
      </c>
      <c r="F50" s="3">
        <v>3.29</v>
      </c>
      <c r="G50" s="3">
        <v>4.62</v>
      </c>
      <c r="H50" s="3">
        <v>3.51</v>
      </c>
      <c r="I50" s="3">
        <v>1.68</v>
      </c>
      <c r="J50" s="3">
        <v>4.72</v>
      </c>
      <c r="K50" s="3">
        <v>3.86</v>
      </c>
      <c r="L50" s="3">
        <v>6.19</v>
      </c>
      <c r="M50" s="3">
        <v>1.01</v>
      </c>
      <c r="N50" s="3">
        <v>0.56</v>
      </c>
      <c r="O50" s="3">
        <v>10.6</v>
      </c>
      <c r="P50" s="3">
        <v>0.43</v>
      </c>
      <c r="Q50" s="3">
        <v>8.23</v>
      </c>
      <c r="R50" s="3">
        <f t="shared" si="0"/>
        <v>60</v>
      </c>
    </row>
    <row r="51" spans="1:18">
      <c r="B51" s="1">
        <v>49</v>
      </c>
      <c r="C51" s="3">
        <v>3.41</v>
      </c>
      <c r="D51" s="3">
        <v>4</v>
      </c>
      <c r="E51" s="3">
        <v>1.49</v>
      </c>
      <c r="F51" s="3">
        <v>2.56</v>
      </c>
      <c r="G51" s="3">
        <v>0.44</v>
      </c>
      <c r="H51" s="3">
        <v>1.96</v>
      </c>
      <c r="I51" s="3">
        <v>0.51</v>
      </c>
      <c r="J51" s="3">
        <v>9.57</v>
      </c>
      <c r="K51" s="3">
        <v>1.54</v>
      </c>
      <c r="L51" s="3">
        <v>3.67</v>
      </c>
      <c r="M51" s="3">
        <v>11.8</v>
      </c>
      <c r="N51" s="3">
        <v>5.24</v>
      </c>
      <c r="O51" s="3">
        <v>5.75</v>
      </c>
      <c r="P51" s="3">
        <v>1.33</v>
      </c>
      <c r="Q51" s="3">
        <v>6.73</v>
      </c>
      <c r="R51" s="3">
        <f t="shared" si="0"/>
        <v>60</v>
      </c>
    </row>
    <row r="52" spans="1:18">
      <c r="B52" s="1">
        <v>50</v>
      </c>
      <c r="C52" s="3">
        <v>6.38</v>
      </c>
      <c r="D52" s="3">
        <v>3.5</v>
      </c>
      <c r="E52" s="3">
        <v>5.97</v>
      </c>
      <c r="F52" s="3">
        <v>6.53</v>
      </c>
      <c r="G52" s="3">
        <v>4.28</v>
      </c>
      <c r="H52" s="3">
        <v>6.06</v>
      </c>
      <c r="I52" s="3">
        <v>2.69</v>
      </c>
      <c r="J52" s="3">
        <v>0.3</v>
      </c>
      <c r="K52" s="3">
        <v>1.22</v>
      </c>
      <c r="L52" s="3">
        <v>4.6</v>
      </c>
      <c r="M52" s="3">
        <v>6.92</v>
      </c>
      <c r="N52" s="3">
        <v>0.69</v>
      </c>
      <c r="O52" s="3">
        <v>4.71</v>
      </c>
      <c r="P52" s="3">
        <v>0.3</v>
      </c>
      <c r="Q52" s="3">
        <v>5.85</v>
      </c>
      <c r="R52" s="3">
        <f t="shared" si="0"/>
        <v>60</v>
      </c>
    </row>
    <row r="53" spans="1:18">
      <c r="A53" s="1" t="s">
        <v>9</v>
      </c>
      <c r="B53" s="1">
        <v>51</v>
      </c>
      <c r="C53" s="3">
        <v>1.64</v>
      </c>
      <c r="D53" s="3">
        <v>5.7</v>
      </c>
      <c r="E53" s="3">
        <v>5.76</v>
      </c>
      <c r="F53" s="3">
        <v>7.05</v>
      </c>
      <c r="G53" s="3">
        <v>2.68</v>
      </c>
      <c r="H53" s="3">
        <v>4.17</v>
      </c>
      <c r="I53" s="3">
        <v>1.88</v>
      </c>
      <c r="J53" s="3">
        <v>6.95</v>
      </c>
      <c r="K53" s="3">
        <v>6.54</v>
      </c>
      <c r="L53" s="3">
        <v>0.29</v>
      </c>
      <c r="M53" s="3">
        <v>2.48</v>
      </c>
      <c r="N53" s="3">
        <v>4.53</v>
      </c>
      <c r="O53" s="3">
        <v>6.82</v>
      </c>
      <c r="P53" s="3">
        <v>0.17</v>
      </c>
      <c r="Q53" s="3">
        <v>3.34</v>
      </c>
      <c r="R53" s="3">
        <f t="shared" si="0"/>
        <v>60</v>
      </c>
    </row>
    <row r="54" spans="1:18">
      <c r="B54" s="1">
        <v>52</v>
      </c>
      <c r="C54" s="3">
        <v>5.22</v>
      </c>
      <c r="D54" s="3">
        <v>4.1</v>
      </c>
      <c r="E54" s="3">
        <v>1.75</v>
      </c>
      <c r="F54" s="3">
        <v>0.45</v>
      </c>
      <c r="G54" s="3">
        <v>3.78</v>
      </c>
      <c r="H54" s="3">
        <v>4.03</v>
      </c>
      <c r="I54" s="3">
        <v>6.95</v>
      </c>
      <c r="J54" s="3">
        <v>4.02</v>
      </c>
      <c r="K54" s="3">
        <v>4.88</v>
      </c>
      <c r="L54" s="3">
        <v>6.46</v>
      </c>
      <c r="M54" s="3">
        <v>0.36</v>
      </c>
      <c r="N54" s="3">
        <v>5.45</v>
      </c>
      <c r="O54" s="3">
        <v>3.05</v>
      </c>
      <c r="P54" s="3">
        <v>5.62</v>
      </c>
      <c r="Q54" s="3">
        <v>3.88</v>
      </c>
      <c r="R54" s="3">
        <f t="shared" si="0"/>
        <v>60</v>
      </c>
    </row>
    <row r="55" spans="1:18">
      <c r="B55" s="1">
        <v>53</v>
      </c>
      <c r="C55" s="3">
        <v>3.16</v>
      </c>
      <c r="D55" s="3">
        <v>2.34</v>
      </c>
      <c r="E55" s="3">
        <v>0.81</v>
      </c>
      <c r="F55" s="3">
        <v>1.37</v>
      </c>
      <c r="G55" s="3">
        <v>2.97</v>
      </c>
      <c r="H55" s="3">
        <v>7.31</v>
      </c>
      <c r="I55" s="3">
        <v>6.92</v>
      </c>
      <c r="J55" s="3">
        <v>2.04</v>
      </c>
      <c r="K55" s="3">
        <v>3.5</v>
      </c>
      <c r="L55" s="3">
        <v>1.49</v>
      </c>
      <c r="M55" s="3">
        <v>8.35</v>
      </c>
      <c r="N55" s="3">
        <v>0.49</v>
      </c>
      <c r="O55" s="3">
        <v>10.02</v>
      </c>
      <c r="P55" s="3">
        <v>0.56</v>
      </c>
      <c r="Q55" s="3">
        <v>8.67</v>
      </c>
      <c r="R55" s="3">
        <f t="shared" si="0"/>
        <v>60</v>
      </c>
    </row>
    <row r="56" spans="1:18">
      <c r="B56" s="1">
        <v>54</v>
      </c>
      <c r="C56" s="3">
        <v>6.24</v>
      </c>
      <c r="D56" s="3">
        <v>5.2</v>
      </c>
      <c r="E56" s="3">
        <v>6.02</v>
      </c>
      <c r="F56" s="3">
        <v>4.08</v>
      </c>
      <c r="G56" s="3">
        <v>6.77</v>
      </c>
      <c r="H56" s="3">
        <v>1.22</v>
      </c>
      <c r="I56" s="3">
        <v>6.41</v>
      </c>
      <c r="J56" s="3">
        <v>3.54</v>
      </c>
      <c r="K56" s="3">
        <v>5.43</v>
      </c>
      <c r="L56" s="3">
        <v>3.31</v>
      </c>
      <c r="M56" s="3">
        <v>0.88</v>
      </c>
      <c r="N56" s="3">
        <v>3.12</v>
      </c>
      <c r="O56" s="3">
        <v>2.37</v>
      </c>
      <c r="P56" s="3">
        <v>2.69</v>
      </c>
      <c r="Q56" s="3">
        <v>2.72</v>
      </c>
      <c r="R56" s="3">
        <f t="shared" si="0"/>
        <v>60</v>
      </c>
    </row>
    <row r="57" spans="1:18">
      <c r="B57" s="1">
        <v>55</v>
      </c>
      <c r="C57" s="3">
        <v>4.37</v>
      </c>
      <c r="D57" s="3">
        <v>5.88</v>
      </c>
      <c r="E57" s="3">
        <v>5.2</v>
      </c>
      <c r="F57" s="3">
        <v>2.11</v>
      </c>
      <c r="G57" s="3">
        <v>0.38</v>
      </c>
      <c r="H57" s="3">
        <v>1.06</v>
      </c>
      <c r="I57" s="3">
        <v>0.45</v>
      </c>
      <c r="J57" s="3">
        <v>3.55</v>
      </c>
      <c r="K57" s="3">
        <v>6.51</v>
      </c>
      <c r="L57" s="3">
        <v>6.78</v>
      </c>
      <c r="M57" s="3">
        <v>1.22</v>
      </c>
      <c r="N57" s="3">
        <v>2.7</v>
      </c>
      <c r="O57" s="3">
        <v>11.88</v>
      </c>
      <c r="P57" s="3">
        <v>3.65</v>
      </c>
      <c r="Q57" s="3">
        <v>4.26</v>
      </c>
      <c r="R57" s="3">
        <f t="shared" si="0"/>
        <v>60</v>
      </c>
    </row>
    <row r="58" spans="1:18">
      <c r="B58" s="1">
        <v>56</v>
      </c>
      <c r="C58" s="3">
        <v>2.44</v>
      </c>
      <c r="D58" s="3">
        <v>1.02</v>
      </c>
      <c r="E58" s="3">
        <v>7.7</v>
      </c>
      <c r="F58" s="3">
        <v>7.17</v>
      </c>
      <c r="G58" s="3">
        <v>0.37</v>
      </c>
      <c r="H58" s="3">
        <v>6.7</v>
      </c>
      <c r="I58" s="3">
        <v>6.64</v>
      </c>
      <c r="J58" s="3">
        <v>6.03</v>
      </c>
      <c r="K58" s="3">
        <v>2.44</v>
      </c>
      <c r="L58" s="3">
        <v>3.14</v>
      </c>
      <c r="M58" s="3">
        <v>6.19</v>
      </c>
      <c r="N58" s="3">
        <v>1.44</v>
      </c>
      <c r="O58" s="3">
        <v>3.42</v>
      </c>
      <c r="P58" s="3">
        <v>0.87</v>
      </c>
      <c r="Q58" s="3">
        <v>4.43</v>
      </c>
      <c r="R58" s="3">
        <f t="shared" si="0"/>
        <v>60</v>
      </c>
    </row>
    <row r="59" spans="1:18">
      <c r="B59" s="1">
        <v>57</v>
      </c>
      <c r="C59" s="3">
        <v>3.92</v>
      </c>
      <c r="D59" s="3">
        <v>1.02</v>
      </c>
      <c r="E59" s="3">
        <v>5.25</v>
      </c>
      <c r="F59" s="3">
        <v>5.11</v>
      </c>
      <c r="G59" s="3">
        <v>2.05</v>
      </c>
      <c r="H59" s="3">
        <v>8.48</v>
      </c>
      <c r="I59" s="3">
        <v>6.4</v>
      </c>
      <c r="J59" s="3">
        <v>0.63</v>
      </c>
      <c r="K59" s="3">
        <v>5.77</v>
      </c>
      <c r="L59" s="3">
        <v>6.92</v>
      </c>
      <c r="M59" s="3">
        <v>0.94</v>
      </c>
      <c r="N59" s="3">
        <v>4.87</v>
      </c>
      <c r="O59" s="3">
        <v>0.67</v>
      </c>
      <c r="P59" s="3">
        <v>6.6</v>
      </c>
      <c r="Q59" s="3">
        <v>1.37</v>
      </c>
      <c r="R59" s="3">
        <f t="shared" si="0"/>
        <v>60</v>
      </c>
    </row>
    <row r="60" spans="1:18">
      <c r="B60" s="1">
        <v>58</v>
      </c>
      <c r="C60" s="3">
        <v>6.7</v>
      </c>
      <c r="D60" s="3">
        <v>3.61</v>
      </c>
      <c r="E60" s="3">
        <v>2.89</v>
      </c>
      <c r="F60" s="3">
        <v>5.34</v>
      </c>
      <c r="G60" s="3">
        <v>0.68</v>
      </c>
      <c r="H60" s="3">
        <v>2.61</v>
      </c>
      <c r="I60" s="3">
        <v>0.42</v>
      </c>
      <c r="J60" s="3">
        <v>1.83</v>
      </c>
      <c r="K60" s="3">
        <v>9.51</v>
      </c>
      <c r="L60" s="3">
        <v>1.09</v>
      </c>
      <c r="M60" s="3">
        <v>5.89</v>
      </c>
      <c r="N60" s="3">
        <v>0.57</v>
      </c>
      <c r="O60" s="3">
        <v>0.62</v>
      </c>
      <c r="P60" s="3">
        <v>1.94</v>
      </c>
      <c r="Q60" s="3">
        <v>16.3</v>
      </c>
      <c r="R60" s="3">
        <f t="shared" si="0"/>
        <v>60</v>
      </c>
    </row>
    <row r="61" spans="1:18">
      <c r="B61" s="1">
        <v>59</v>
      </c>
      <c r="C61" s="3">
        <v>0.4</v>
      </c>
      <c r="D61" s="3">
        <v>3.47</v>
      </c>
      <c r="E61" s="3">
        <v>1.75</v>
      </c>
      <c r="F61" s="3">
        <v>1.63</v>
      </c>
      <c r="G61" s="3">
        <v>5.9</v>
      </c>
      <c r="H61" s="3">
        <v>9.25</v>
      </c>
      <c r="I61" s="3">
        <v>8.2</v>
      </c>
      <c r="J61" s="3">
        <v>3.06</v>
      </c>
      <c r="K61" s="3">
        <v>6.91</v>
      </c>
      <c r="L61" s="3">
        <v>3.4</v>
      </c>
      <c r="M61" s="3">
        <v>6.09</v>
      </c>
      <c r="N61" s="3">
        <v>3.82</v>
      </c>
      <c r="O61" s="3">
        <v>0.64</v>
      </c>
      <c r="P61" s="3">
        <v>5</v>
      </c>
      <c r="Q61" s="3">
        <v>0.48</v>
      </c>
      <c r="R61" s="3">
        <f t="shared" si="0"/>
        <v>60</v>
      </c>
    </row>
    <row r="62" spans="1:18">
      <c r="B62" s="1">
        <v>60</v>
      </c>
      <c r="C62" s="3">
        <v>7.99</v>
      </c>
      <c r="D62" s="3">
        <v>3.7</v>
      </c>
      <c r="E62" s="3">
        <v>0.37</v>
      </c>
      <c r="F62" s="3">
        <v>5.29</v>
      </c>
      <c r="G62" s="3">
        <v>1.13</v>
      </c>
      <c r="H62" s="3">
        <v>6.98</v>
      </c>
      <c r="I62" s="3">
        <v>2.7</v>
      </c>
      <c r="J62" s="3">
        <v>0.57</v>
      </c>
      <c r="K62" s="3">
        <v>5.42</v>
      </c>
      <c r="L62" s="3">
        <v>0.43</v>
      </c>
      <c r="M62" s="3">
        <v>3.21</v>
      </c>
      <c r="N62" s="3">
        <v>2.25</v>
      </c>
      <c r="O62" s="3">
        <v>8.17</v>
      </c>
      <c r="P62" s="3">
        <v>8.84</v>
      </c>
      <c r="Q62" s="3">
        <v>2.95</v>
      </c>
      <c r="R62" s="3">
        <f t="shared" si="0"/>
        <v>60</v>
      </c>
    </row>
    <row r="63" spans="1:18">
      <c r="A63" s="1" t="s">
        <v>10</v>
      </c>
      <c r="B63" s="1">
        <v>61</v>
      </c>
      <c r="C63" s="3">
        <v>4.98</v>
      </c>
      <c r="D63" s="3">
        <v>4.43</v>
      </c>
      <c r="E63" s="3">
        <v>2.62</v>
      </c>
      <c r="F63" s="3">
        <v>7.2</v>
      </c>
      <c r="G63" s="3">
        <v>6.5</v>
      </c>
      <c r="H63" s="3">
        <v>6.43</v>
      </c>
      <c r="I63" s="3">
        <v>0.3</v>
      </c>
      <c r="J63" s="3">
        <v>6.58</v>
      </c>
      <c r="K63" s="3">
        <v>3.32</v>
      </c>
      <c r="L63" s="3">
        <v>1.64</v>
      </c>
      <c r="M63" s="3">
        <v>2.02</v>
      </c>
      <c r="N63" s="3">
        <v>5.71</v>
      </c>
      <c r="O63" s="3">
        <v>4.5</v>
      </c>
      <c r="P63" s="3">
        <v>1.34</v>
      </c>
      <c r="Q63" s="3">
        <v>2.43</v>
      </c>
      <c r="R63" s="3">
        <f t="shared" si="0"/>
        <v>60</v>
      </c>
    </row>
    <row r="64" spans="1:18">
      <c r="B64" s="1">
        <v>62</v>
      </c>
      <c r="C64" s="3">
        <v>3.95</v>
      </c>
      <c r="D64" s="3">
        <v>4.52</v>
      </c>
      <c r="E64" s="3">
        <v>7.88</v>
      </c>
      <c r="F64" s="3">
        <v>2.43</v>
      </c>
      <c r="G64" s="3">
        <v>6.38</v>
      </c>
      <c r="H64" s="3">
        <v>3.98</v>
      </c>
      <c r="I64" s="3">
        <v>2.99</v>
      </c>
      <c r="J64" s="3">
        <v>1.79</v>
      </c>
      <c r="K64" s="3">
        <v>0.62</v>
      </c>
      <c r="L64" s="3">
        <v>0.42</v>
      </c>
      <c r="M64" s="3">
        <v>2.73</v>
      </c>
      <c r="N64" s="3">
        <v>2.33</v>
      </c>
      <c r="O64" s="3">
        <v>0.87</v>
      </c>
      <c r="P64" s="3">
        <v>9.6</v>
      </c>
      <c r="Q64" s="3">
        <v>9.51</v>
      </c>
      <c r="R64" s="3">
        <f t="shared" si="0"/>
        <v>60</v>
      </c>
    </row>
    <row r="65" spans="1:18">
      <c r="B65" s="1">
        <v>63</v>
      </c>
      <c r="C65" s="3">
        <v>3.05</v>
      </c>
      <c r="D65" s="3">
        <v>0.4</v>
      </c>
      <c r="E65" s="3">
        <v>5.63</v>
      </c>
      <c r="F65" s="3">
        <v>5.02</v>
      </c>
      <c r="G65" s="3">
        <v>2.17</v>
      </c>
      <c r="H65" s="3">
        <v>5.6</v>
      </c>
      <c r="I65" s="3">
        <v>3.91</v>
      </c>
      <c r="J65" s="3">
        <v>1.37</v>
      </c>
      <c r="K65" s="3">
        <v>7.51</v>
      </c>
      <c r="L65" s="3">
        <v>1.58</v>
      </c>
      <c r="M65" s="3">
        <v>5.22</v>
      </c>
      <c r="N65" s="3">
        <v>5.93</v>
      </c>
      <c r="O65" s="3">
        <v>2.68</v>
      </c>
      <c r="P65" s="3">
        <v>9.33</v>
      </c>
      <c r="Q65" s="3">
        <v>0.6</v>
      </c>
      <c r="R65" s="3">
        <f t="shared" si="0"/>
        <v>60</v>
      </c>
    </row>
    <row r="66" spans="1:18">
      <c r="B66" s="1">
        <v>64</v>
      </c>
      <c r="C66" s="3">
        <v>7.06</v>
      </c>
      <c r="D66" s="3">
        <v>1.52</v>
      </c>
      <c r="E66" s="3">
        <v>1.96</v>
      </c>
      <c r="F66" s="3">
        <v>6.89</v>
      </c>
      <c r="G66" s="3">
        <v>6.53</v>
      </c>
      <c r="H66" s="3">
        <v>3.49</v>
      </c>
      <c r="I66" s="3">
        <v>0.84</v>
      </c>
      <c r="J66" s="3">
        <v>2.44</v>
      </c>
      <c r="K66" s="3">
        <v>7.03</v>
      </c>
      <c r="L66" s="3">
        <v>1.54</v>
      </c>
      <c r="M66" s="3">
        <v>4.37</v>
      </c>
      <c r="N66" s="3">
        <v>4.62</v>
      </c>
      <c r="O66" s="3">
        <v>1.69</v>
      </c>
      <c r="P66" s="3">
        <v>2.06</v>
      </c>
      <c r="Q66" s="3">
        <v>7.96</v>
      </c>
      <c r="R66" s="3">
        <f t="shared" si="0"/>
        <v>60</v>
      </c>
    </row>
    <row r="67" spans="1:18">
      <c r="B67" s="1">
        <v>65</v>
      </c>
      <c r="C67" s="3">
        <v>5.85</v>
      </c>
      <c r="D67" s="3">
        <v>3.65</v>
      </c>
      <c r="E67" s="3">
        <v>4.07</v>
      </c>
      <c r="F67" s="3">
        <v>3.65</v>
      </c>
      <c r="G67" s="3">
        <v>7.36</v>
      </c>
      <c r="H67" s="3">
        <v>6.67</v>
      </c>
      <c r="I67" s="3">
        <v>4.45</v>
      </c>
      <c r="J67" s="3">
        <v>0.3</v>
      </c>
      <c r="K67" s="3">
        <v>2.46</v>
      </c>
      <c r="L67" s="3">
        <v>4.33</v>
      </c>
      <c r="M67" s="3">
        <v>1.09</v>
      </c>
      <c r="N67" s="3">
        <v>6.06</v>
      </c>
      <c r="O67" s="3">
        <v>3.98</v>
      </c>
      <c r="P67" s="3">
        <v>4.49</v>
      </c>
      <c r="Q67" s="3">
        <v>1.59</v>
      </c>
      <c r="R67" s="3">
        <f t="shared" ref="R67:R130" si="1">SUM(C67:Q67)</f>
        <v>60</v>
      </c>
    </row>
    <row r="68" spans="1:18">
      <c r="B68" s="1">
        <v>66</v>
      </c>
      <c r="C68" s="3">
        <v>7.1</v>
      </c>
      <c r="D68" s="3">
        <v>7.5</v>
      </c>
      <c r="E68" s="3">
        <v>2.9</v>
      </c>
      <c r="F68" s="3">
        <v>2.08</v>
      </c>
      <c r="G68" s="3">
        <v>6.84</v>
      </c>
      <c r="H68" s="3">
        <v>5.62</v>
      </c>
      <c r="I68" s="3">
        <v>3.22</v>
      </c>
      <c r="J68" s="3">
        <v>3.72</v>
      </c>
      <c r="K68" s="3">
        <v>3.83</v>
      </c>
      <c r="L68" s="3">
        <v>3.58</v>
      </c>
      <c r="M68" s="3">
        <v>4.31</v>
      </c>
      <c r="N68" s="3">
        <v>1.04</v>
      </c>
      <c r="O68" s="3">
        <v>1.79</v>
      </c>
      <c r="P68" s="3">
        <v>1.44</v>
      </c>
      <c r="Q68" s="3">
        <v>5.03</v>
      </c>
      <c r="R68" s="3">
        <f t="shared" si="1"/>
        <v>60</v>
      </c>
    </row>
    <row r="69" spans="1:18">
      <c r="B69" s="1">
        <v>67</v>
      </c>
      <c r="C69" s="3">
        <v>6.84</v>
      </c>
      <c r="D69" s="3">
        <v>2.55</v>
      </c>
      <c r="E69" s="3">
        <v>3.33</v>
      </c>
      <c r="F69" s="3">
        <v>1.13</v>
      </c>
      <c r="G69" s="3">
        <v>2.39</v>
      </c>
      <c r="H69" s="3">
        <v>2.1</v>
      </c>
      <c r="I69" s="3">
        <v>1.83</v>
      </c>
      <c r="J69" s="3">
        <v>0.49</v>
      </c>
      <c r="K69" s="3">
        <v>3.79</v>
      </c>
      <c r="L69" s="3">
        <v>11.33</v>
      </c>
      <c r="M69" s="3">
        <v>2.01</v>
      </c>
      <c r="N69" s="3">
        <v>9.69</v>
      </c>
      <c r="O69" s="3">
        <v>1.03</v>
      </c>
      <c r="P69" s="3">
        <v>3.9</v>
      </c>
      <c r="Q69" s="3">
        <v>7.59</v>
      </c>
      <c r="R69" s="3">
        <f t="shared" si="1"/>
        <v>60</v>
      </c>
    </row>
    <row r="70" spans="1:18">
      <c r="B70" s="1">
        <v>68</v>
      </c>
      <c r="C70" s="3">
        <v>6.45</v>
      </c>
      <c r="D70" s="3">
        <v>4.14</v>
      </c>
      <c r="E70" s="3">
        <v>0.57</v>
      </c>
      <c r="F70" s="3">
        <v>7.64</v>
      </c>
      <c r="G70" s="3">
        <v>4.48</v>
      </c>
      <c r="H70" s="3">
        <v>5.54</v>
      </c>
      <c r="I70" s="3">
        <v>2.92</v>
      </c>
      <c r="J70" s="3">
        <v>2.42</v>
      </c>
      <c r="K70" s="3">
        <v>3.54</v>
      </c>
      <c r="L70" s="3">
        <v>6.24</v>
      </c>
      <c r="M70" s="3">
        <v>0.64</v>
      </c>
      <c r="N70" s="3">
        <v>3.3</v>
      </c>
      <c r="O70" s="3">
        <v>1.6</v>
      </c>
      <c r="P70" s="3">
        <v>4.41</v>
      </c>
      <c r="Q70" s="3">
        <v>6.11</v>
      </c>
      <c r="R70" s="3">
        <f t="shared" si="1"/>
        <v>60</v>
      </c>
    </row>
    <row r="71" spans="1:18">
      <c r="B71" s="1">
        <v>69</v>
      </c>
      <c r="C71" s="3">
        <v>2.04</v>
      </c>
      <c r="D71" s="3">
        <v>7.75</v>
      </c>
      <c r="E71" s="3">
        <v>3.78</v>
      </c>
      <c r="F71" s="3">
        <v>1.47</v>
      </c>
      <c r="G71" s="3">
        <v>7.8</v>
      </c>
      <c r="H71" s="3">
        <v>0.73</v>
      </c>
      <c r="I71" s="3">
        <v>2.28</v>
      </c>
      <c r="J71" s="3">
        <v>3.5</v>
      </c>
      <c r="K71" s="3">
        <v>3.4</v>
      </c>
      <c r="L71" s="3">
        <v>6.23</v>
      </c>
      <c r="M71" s="3">
        <v>0.42</v>
      </c>
      <c r="N71" s="3">
        <v>2.19</v>
      </c>
      <c r="O71" s="3">
        <v>5.36</v>
      </c>
      <c r="P71" s="3">
        <v>10.33</v>
      </c>
      <c r="Q71" s="3">
        <v>2.72</v>
      </c>
      <c r="R71" s="3">
        <f t="shared" si="1"/>
        <v>60</v>
      </c>
    </row>
    <row r="72" spans="1:18">
      <c r="B72" s="1">
        <v>70</v>
      </c>
      <c r="C72" s="3">
        <v>0.84</v>
      </c>
      <c r="D72" s="3">
        <v>3.6</v>
      </c>
      <c r="E72" s="3">
        <v>4.25</v>
      </c>
      <c r="F72" s="3">
        <v>1.83</v>
      </c>
      <c r="G72" s="3">
        <v>2.04</v>
      </c>
      <c r="H72" s="3">
        <v>6.73</v>
      </c>
      <c r="I72" s="3">
        <v>0.45</v>
      </c>
      <c r="J72" s="3">
        <v>6.28</v>
      </c>
      <c r="K72" s="3">
        <v>4.77</v>
      </c>
      <c r="L72" s="3">
        <v>7.38</v>
      </c>
      <c r="M72" s="3">
        <v>8.43</v>
      </c>
      <c r="N72" s="3">
        <v>0.33</v>
      </c>
      <c r="O72" s="3">
        <v>8.56</v>
      </c>
      <c r="P72" s="3">
        <v>2.46</v>
      </c>
      <c r="Q72" s="3">
        <v>2.05</v>
      </c>
      <c r="R72" s="3">
        <f t="shared" si="1"/>
        <v>60</v>
      </c>
    </row>
    <row r="73" spans="1:18">
      <c r="A73" s="1" t="s">
        <v>11</v>
      </c>
      <c r="B73" s="1">
        <v>71</v>
      </c>
      <c r="C73" s="3">
        <v>7.24</v>
      </c>
      <c r="D73" s="3">
        <v>7.01</v>
      </c>
      <c r="E73" s="3">
        <v>6.13</v>
      </c>
      <c r="F73" s="3">
        <v>1.6</v>
      </c>
      <c r="G73" s="3">
        <v>0.34</v>
      </c>
      <c r="H73" s="3">
        <v>2.93</v>
      </c>
      <c r="I73" s="3">
        <v>4.77</v>
      </c>
      <c r="J73" s="3">
        <v>5.28</v>
      </c>
      <c r="K73" s="3">
        <v>4.77</v>
      </c>
      <c r="L73" s="3">
        <v>4.42</v>
      </c>
      <c r="M73" s="3">
        <v>3.75</v>
      </c>
      <c r="N73" s="3">
        <v>5.8</v>
      </c>
      <c r="O73" s="3">
        <v>2.53</v>
      </c>
      <c r="P73" s="3">
        <v>1.88</v>
      </c>
      <c r="Q73" s="3">
        <v>1.55</v>
      </c>
      <c r="R73" s="3">
        <f t="shared" si="1"/>
        <v>60</v>
      </c>
    </row>
    <row r="74" spans="1:18">
      <c r="B74" s="1">
        <v>72</v>
      </c>
      <c r="C74" s="3">
        <v>3.98</v>
      </c>
      <c r="D74" s="3">
        <v>5.59</v>
      </c>
      <c r="E74" s="3">
        <v>0.77</v>
      </c>
      <c r="F74" s="3">
        <v>0.41</v>
      </c>
      <c r="G74" s="3">
        <v>8.32</v>
      </c>
      <c r="H74" s="3">
        <v>3.13</v>
      </c>
      <c r="I74" s="3">
        <v>1.44</v>
      </c>
      <c r="J74" s="3">
        <v>7.17</v>
      </c>
      <c r="K74" s="3">
        <v>2.47</v>
      </c>
      <c r="L74" s="3">
        <v>3.36</v>
      </c>
      <c r="M74" s="3">
        <v>7.64</v>
      </c>
      <c r="N74" s="3">
        <v>0.55</v>
      </c>
      <c r="O74" s="3">
        <v>3.05</v>
      </c>
      <c r="P74" s="3">
        <v>3.64</v>
      </c>
      <c r="Q74" s="3">
        <v>8.48</v>
      </c>
      <c r="R74" s="3">
        <f t="shared" si="1"/>
        <v>60</v>
      </c>
    </row>
    <row r="75" spans="1:18">
      <c r="B75" s="1">
        <v>73</v>
      </c>
      <c r="C75" s="3">
        <v>0.77</v>
      </c>
      <c r="D75" s="3">
        <v>6.9</v>
      </c>
      <c r="E75" s="3">
        <v>5.26</v>
      </c>
      <c r="F75" s="3">
        <v>1.13</v>
      </c>
      <c r="G75" s="3">
        <v>1.41</v>
      </c>
      <c r="H75" s="3">
        <v>3.65</v>
      </c>
      <c r="I75" s="3">
        <v>6.67</v>
      </c>
      <c r="J75" s="3">
        <v>4.92</v>
      </c>
      <c r="K75" s="3">
        <v>6.29</v>
      </c>
      <c r="L75" s="3">
        <v>1.97</v>
      </c>
      <c r="M75" s="3">
        <v>1.68</v>
      </c>
      <c r="N75" s="3">
        <v>5.84</v>
      </c>
      <c r="O75" s="3">
        <v>1.92</v>
      </c>
      <c r="P75" s="3">
        <v>8.08</v>
      </c>
      <c r="Q75" s="3">
        <v>3.51</v>
      </c>
      <c r="R75" s="3">
        <f t="shared" si="1"/>
        <v>60</v>
      </c>
    </row>
    <row r="76" spans="1:18">
      <c r="B76" s="1">
        <v>74</v>
      </c>
      <c r="C76" s="3">
        <v>7.71</v>
      </c>
      <c r="D76" s="3">
        <v>6.3</v>
      </c>
      <c r="E76" s="3">
        <v>1.61</v>
      </c>
      <c r="F76" s="3">
        <v>4.88</v>
      </c>
      <c r="G76" s="3">
        <v>5.46</v>
      </c>
      <c r="H76" s="3">
        <v>3.24</v>
      </c>
      <c r="I76" s="3">
        <v>3.31</v>
      </c>
      <c r="J76" s="3">
        <v>4.9</v>
      </c>
      <c r="K76" s="3">
        <v>3.45</v>
      </c>
      <c r="L76" s="3">
        <v>4.01</v>
      </c>
      <c r="M76" s="3">
        <v>3.99</v>
      </c>
      <c r="N76" s="3">
        <v>5.05</v>
      </c>
      <c r="O76" s="3">
        <v>3.99</v>
      </c>
      <c r="P76" s="3">
        <v>0.32</v>
      </c>
      <c r="Q76" s="3">
        <v>1.78</v>
      </c>
      <c r="R76" s="3">
        <f t="shared" si="1"/>
        <v>60</v>
      </c>
    </row>
    <row r="77" spans="1:18">
      <c r="B77" s="1">
        <v>75</v>
      </c>
      <c r="C77" s="3">
        <v>2.85</v>
      </c>
      <c r="D77" s="3">
        <v>2.12</v>
      </c>
      <c r="E77" s="3">
        <v>7.19</v>
      </c>
      <c r="F77" s="3">
        <v>7.41</v>
      </c>
      <c r="G77" s="3">
        <v>2.62</v>
      </c>
      <c r="H77" s="3">
        <v>3.79</v>
      </c>
      <c r="I77" s="3">
        <v>1.85</v>
      </c>
      <c r="J77" s="3">
        <v>3.57</v>
      </c>
      <c r="K77" s="3">
        <v>0.62</v>
      </c>
      <c r="L77" s="3">
        <v>7.37</v>
      </c>
      <c r="M77" s="3">
        <v>4.49</v>
      </c>
      <c r="N77" s="3">
        <v>4.17</v>
      </c>
      <c r="O77" s="3">
        <v>2.56</v>
      </c>
      <c r="P77" s="3">
        <v>9.3</v>
      </c>
      <c r="Q77" s="3">
        <v>0.09</v>
      </c>
      <c r="R77" s="3">
        <f t="shared" si="1"/>
        <v>60</v>
      </c>
    </row>
    <row r="78" spans="1:18">
      <c r="B78" s="1">
        <v>76</v>
      </c>
      <c r="C78" s="3">
        <v>1.98</v>
      </c>
      <c r="D78" s="3">
        <v>6.55</v>
      </c>
      <c r="E78" s="3">
        <v>4.79</v>
      </c>
      <c r="F78" s="3">
        <v>6.45</v>
      </c>
      <c r="G78" s="3">
        <v>1.28</v>
      </c>
      <c r="H78" s="3">
        <v>6.79</v>
      </c>
      <c r="I78" s="3">
        <v>1.19</v>
      </c>
      <c r="J78" s="3">
        <v>6.87</v>
      </c>
      <c r="K78" s="3">
        <v>3.41</v>
      </c>
      <c r="L78" s="3">
        <v>3.75</v>
      </c>
      <c r="M78" s="3">
        <v>1.61</v>
      </c>
      <c r="N78" s="3">
        <v>3.8</v>
      </c>
      <c r="O78" s="3">
        <v>7.13</v>
      </c>
      <c r="P78" s="3">
        <v>3.55</v>
      </c>
      <c r="Q78" s="3">
        <v>0.85</v>
      </c>
      <c r="R78" s="3">
        <f t="shared" si="1"/>
        <v>60</v>
      </c>
    </row>
    <row r="79" spans="1:18">
      <c r="B79" s="1">
        <v>77</v>
      </c>
      <c r="C79" s="3">
        <v>6.1</v>
      </c>
      <c r="D79" s="3">
        <v>2.66</v>
      </c>
      <c r="E79" s="3">
        <v>4.87</v>
      </c>
      <c r="F79" s="3">
        <v>6.35</v>
      </c>
      <c r="G79" s="3">
        <v>4.37</v>
      </c>
      <c r="H79" s="3">
        <v>7.07</v>
      </c>
      <c r="I79" s="3">
        <v>2.89</v>
      </c>
      <c r="J79" s="3">
        <v>0.89</v>
      </c>
      <c r="K79" s="3">
        <v>2.51</v>
      </c>
      <c r="L79" s="3">
        <v>2.28</v>
      </c>
      <c r="M79" s="3">
        <v>6.08</v>
      </c>
      <c r="N79" s="3">
        <v>3.46</v>
      </c>
      <c r="O79" s="3">
        <v>5.71</v>
      </c>
      <c r="P79" s="3">
        <v>3.71</v>
      </c>
      <c r="Q79" s="3">
        <v>1.05</v>
      </c>
      <c r="R79" s="3">
        <f t="shared" si="1"/>
        <v>60</v>
      </c>
    </row>
    <row r="80" spans="1:18">
      <c r="B80" s="1">
        <v>78</v>
      </c>
      <c r="C80" s="3">
        <v>6</v>
      </c>
      <c r="D80" s="3">
        <v>2.51</v>
      </c>
      <c r="E80" s="3">
        <v>7.16</v>
      </c>
      <c r="F80" s="3">
        <v>0.67</v>
      </c>
      <c r="G80" s="3">
        <v>2.19</v>
      </c>
      <c r="H80" s="3">
        <v>5.11</v>
      </c>
      <c r="I80" s="3">
        <v>6.05</v>
      </c>
      <c r="J80" s="3">
        <v>5</v>
      </c>
      <c r="K80" s="3">
        <v>7.04</v>
      </c>
      <c r="L80" s="3">
        <v>6.05</v>
      </c>
      <c r="M80" s="3">
        <v>3.83</v>
      </c>
      <c r="N80" s="3">
        <v>3.71</v>
      </c>
      <c r="O80" s="3">
        <v>2.49</v>
      </c>
      <c r="P80" s="3">
        <v>1.13</v>
      </c>
      <c r="Q80" s="3">
        <v>1.06</v>
      </c>
      <c r="R80" s="3">
        <f t="shared" si="1"/>
        <v>60</v>
      </c>
    </row>
    <row r="81" spans="1:18">
      <c r="B81" s="1">
        <v>79</v>
      </c>
      <c r="C81" s="3">
        <v>3.79</v>
      </c>
      <c r="D81" s="3">
        <v>5.2</v>
      </c>
      <c r="E81" s="3">
        <v>4.47</v>
      </c>
      <c r="F81" s="3">
        <v>0.38</v>
      </c>
      <c r="G81" s="3">
        <v>1.55</v>
      </c>
      <c r="H81" s="3">
        <v>0.44</v>
      </c>
      <c r="I81" s="3">
        <v>5.39</v>
      </c>
      <c r="J81" s="3">
        <v>1.51</v>
      </c>
      <c r="K81" s="3">
        <v>5</v>
      </c>
      <c r="L81" s="3">
        <v>4.91</v>
      </c>
      <c r="M81" s="3">
        <v>3.62</v>
      </c>
      <c r="N81" s="3">
        <v>5.89</v>
      </c>
      <c r="O81" s="3">
        <v>2.71</v>
      </c>
      <c r="P81" s="3">
        <v>3.69</v>
      </c>
      <c r="Q81" s="3">
        <v>11.45</v>
      </c>
      <c r="R81" s="3">
        <f t="shared" si="1"/>
        <v>60</v>
      </c>
    </row>
    <row r="82" spans="1:18">
      <c r="B82" s="1">
        <v>80</v>
      </c>
      <c r="C82" s="3">
        <v>6.97</v>
      </c>
      <c r="D82" s="3">
        <v>6.86</v>
      </c>
      <c r="E82" s="3">
        <v>2.66</v>
      </c>
      <c r="F82" s="3">
        <v>4.13</v>
      </c>
      <c r="G82" s="3">
        <v>3.03</v>
      </c>
      <c r="H82" s="3">
        <v>3.94</v>
      </c>
      <c r="I82" s="3">
        <v>3.11</v>
      </c>
      <c r="J82" s="3">
        <v>0.79</v>
      </c>
      <c r="K82" s="3">
        <v>4.58</v>
      </c>
      <c r="L82" s="3">
        <v>1.94</v>
      </c>
      <c r="M82" s="3">
        <v>1.57</v>
      </c>
      <c r="N82" s="3">
        <v>0.51</v>
      </c>
      <c r="O82" s="3">
        <v>10.69</v>
      </c>
      <c r="P82" s="3">
        <v>3.47</v>
      </c>
      <c r="Q82" s="3">
        <v>5.75</v>
      </c>
      <c r="R82" s="3">
        <f t="shared" si="1"/>
        <v>60</v>
      </c>
    </row>
    <row r="83" spans="1:18">
      <c r="A83" s="1" t="s">
        <v>12</v>
      </c>
      <c r="B83" s="1">
        <v>81</v>
      </c>
      <c r="C83" s="3">
        <v>4.52</v>
      </c>
      <c r="D83" s="3">
        <v>5.19</v>
      </c>
      <c r="E83" s="3">
        <v>7.71</v>
      </c>
      <c r="F83" s="3">
        <v>5.48</v>
      </c>
      <c r="G83" s="3">
        <v>6.46</v>
      </c>
      <c r="H83" s="3">
        <v>5.75</v>
      </c>
      <c r="I83" s="3">
        <v>0.72</v>
      </c>
      <c r="J83" s="3">
        <v>2.02</v>
      </c>
      <c r="K83" s="3">
        <v>0.31</v>
      </c>
      <c r="L83" s="3">
        <v>1.59</v>
      </c>
      <c r="M83" s="3">
        <v>0.51</v>
      </c>
      <c r="N83" s="3">
        <v>3.67</v>
      </c>
      <c r="O83" s="3">
        <v>7.09</v>
      </c>
      <c r="P83" s="3">
        <v>7.24</v>
      </c>
      <c r="Q83" s="3">
        <v>1.74</v>
      </c>
      <c r="R83" s="3">
        <f t="shared" si="1"/>
        <v>60</v>
      </c>
    </row>
    <row r="84" spans="1:18">
      <c r="B84" s="1">
        <v>82</v>
      </c>
      <c r="C84" s="3">
        <v>4.23</v>
      </c>
      <c r="D84" s="3">
        <v>6.27</v>
      </c>
      <c r="E84" s="3">
        <v>2.19</v>
      </c>
      <c r="F84" s="3">
        <v>0.45</v>
      </c>
      <c r="G84" s="3">
        <v>7.93</v>
      </c>
      <c r="H84" s="3">
        <v>3.17</v>
      </c>
      <c r="I84" s="3">
        <v>3.62</v>
      </c>
      <c r="J84" s="3">
        <v>6.02</v>
      </c>
      <c r="K84" s="3">
        <v>2.18</v>
      </c>
      <c r="L84" s="3">
        <v>6.75</v>
      </c>
      <c r="M84" s="3">
        <v>5.84</v>
      </c>
      <c r="N84" s="3">
        <v>0.48</v>
      </c>
      <c r="O84" s="3">
        <v>5.62</v>
      </c>
      <c r="P84" s="3">
        <v>0.37</v>
      </c>
      <c r="Q84" s="3">
        <v>4.88</v>
      </c>
      <c r="R84" s="3">
        <f t="shared" si="1"/>
        <v>60</v>
      </c>
    </row>
    <row r="85" spans="1:18">
      <c r="B85" s="1">
        <v>83</v>
      </c>
      <c r="C85" s="3">
        <v>5.05</v>
      </c>
      <c r="D85" s="3">
        <v>2.65</v>
      </c>
      <c r="E85" s="3">
        <v>0.4</v>
      </c>
      <c r="F85" s="3">
        <v>1.24</v>
      </c>
      <c r="G85" s="3">
        <v>7.79</v>
      </c>
      <c r="H85" s="3">
        <v>6.34</v>
      </c>
      <c r="I85" s="3">
        <v>3.03</v>
      </c>
      <c r="J85" s="3">
        <v>6.71</v>
      </c>
      <c r="K85" s="3">
        <v>5.8</v>
      </c>
      <c r="L85" s="3">
        <v>5.68</v>
      </c>
      <c r="M85" s="3">
        <v>5.44</v>
      </c>
      <c r="N85" s="3">
        <v>2.07</v>
      </c>
      <c r="O85" s="3">
        <v>5.02</v>
      </c>
      <c r="P85" s="3">
        <v>0.61</v>
      </c>
      <c r="Q85" s="3">
        <v>2.17</v>
      </c>
      <c r="R85" s="3">
        <f t="shared" si="1"/>
        <v>60</v>
      </c>
    </row>
    <row r="86" spans="1:18">
      <c r="B86" s="1">
        <v>84</v>
      </c>
      <c r="C86" s="3">
        <v>6.33</v>
      </c>
      <c r="D86" s="3">
        <v>3.79</v>
      </c>
      <c r="E86" s="3">
        <v>4.84</v>
      </c>
      <c r="F86" s="3">
        <v>3.25</v>
      </c>
      <c r="G86" s="3">
        <v>1.71</v>
      </c>
      <c r="H86" s="3">
        <v>4.58</v>
      </c>
      <c r="I86" s="3">
        <v>2.36</v>
      </c>
      <c r="J86" s="3">
        <v>0.56</v>
      </c>
      <c r="K86" s="3">
        <v>4.49</v>
      </c>
      <c r="L86" s="3">
        <v>1.56</v>
      </c>
      <c r="M86" s="3">
        <v>5.68</v>
      </c>
      <c r="N86" s="3">
        <v>8.48</v>
      </c>
      <c r="O86" s="3">
        <v>3.82</v>
      </c>
      <c r="P86" s="3">
        <v>3.44</v>
      </c>
      <c r="Q86" s="3">
        <v>5.11</v>
      </c>
      <c r="R86" s="3">
        <f t="shared" si="1"/>
        <v>60</v>
      </c>
    </row>
    <row r="87" spans="1:18">
      <c r="B87" s="1">
        <v>85</v>
      </c>
      <c r="C87" s="3">
        <v>2.13</v>
      </c>
      <c r="D87" s="3">
        <v>8.24</v>
      </c>
      <c r="E87" s="3">
        <v>7.38</v>
      </c>
      <c r="F87" s="3">
        <v>4.95</v>
      </c>
      <c r="G87" s="3">
        <v>6.57</v>
      </c>
      <c r="H87" s="3">
        <v>2.79</v>
      </c>
      <c r="I87" s="3">
        <v>4.45</v>
      </c>
      <c r="J87" s="3">
        <v>0.77</v>
      </c>
      <c r="K87" s="3">
        <v>0.49</v>
      </c>
      <c r="L87" s="3">
        <v>3.94</v>
      </c>
      <c r="M87" s="3">
        <v>3.07</v>
      </c>
      <c r="N87" s="3">
        <v>4.13</v>
      </c>
      <c r="O87" s="3">
        <v>4.75</v>
      </c>
      <c r="P87" s="3">
        <v>1.93</v>
      </c>
      <c r="Q87" s="3">
        <v>4.41</v>
      </c>
      <c r="R87" s="3">
        <f t="shared" si="1"/>
        <v>60</v>
      </c>
    </row>
    <row r="88" spans="1:18">
      <c r="B88" s="1">
        <v>86</v>
      </c>
      <c r="C88" s="3">
        <v>1.53</v>
      </c>
      <c r="D88" s="3">
        <v>5.33</v>
      </c>
      <c r="E88" s="3">
        <v>0.4</v>
      </c>
      <c r="F88" s="3">
        <v>0.43</v>
      </c>
      <c r="G88" s="3">
        <v>3.48</v>
      </c>
      <c r="H88" s="3">
        <v>1.23</v>
      </c>
      <c r="I88" s="3">
        <v>9.14</v>
      </c>
      <c r="J88" s="3">
        <v>2.5</v>
      </c>
      <c r="K88" s="3">
        <v>8.98</v>
      </c>
      <c r="L88" s="3">
        <v>8.75</v>
      </c>
      <c r="M88" s="3">
        <v>1.4</v>
      </c>
      <c r="N88" s="3">
        <v>3.03</v>
      </c>
      <c r="O88" s="3">
        <v>0.83</v>
      </c>
      <c r="P88" s="3">
        <v>5.46</v>
      </c>
      <c r="Q88" s="3">
        <v>7.51</v>
      </c>
      <c r="R88" s="3">
        <f t="shared" si="1"/>
        <v>60</v>
      </c>
    </row>
    <row r="89" spans="1:18">
      <c r="B89" s="1">
        <v>87</v>
      </c>
      <c r="C89" s="3">
        <v>0.7</v>
      </c>
      <c r="D89" s="3">
        <v>4.06</v>
      </c>
      <c r="E89" s="3">
        <v>7.3</v>
      </c>
      <c r="F89" s="3">
        <v>6.6</v>
      </c>
      <c r="G89" s="3">
        <v>2.54</v>
      </c>
      <c r="H89" s="3">
        <v>2.53</v>
      </c>
      <c r="I89" s="3">
        <v>5.63</v>
      </c>
      <c r="J89" s="3">
        <v>3.74</v>
      </c>
      <c r="K89" s="3">
        <v>0.41</v>
      </c>
      <c r="L89" s="3">
        <v>0.44</v>
      </c>
      <c r="M89" s="3">
        <v>5.01</v>
      </c>
      <c r="N89" s="3">
        <v>7.22</v>
      </c>
      <c r="O89" s="3">
        <v>1.76</v>
      </c>
      <c r="P89" s="3">
        <v>4.46</v>
      </c>
      <c r="Q89" s="3">
        <v>7.6</v>
      </c>
      <c r="R89" s="3">
        <f t="shared" si="1"/>
        <v>60</v>
      </c>
    </row>
    <row r="90" spans="1:18">
      <c r="B90" s="1">
        <v>88</v>
      </c>
      <c r="C90" s="3">
        <v>6.51</v>
      </c>
      <c r="D90" s="3">
        <v>4.28</v>
      </c>
      <c r="E90" s="3">
        <v>1.93</v>
      </c>
      <c r="F90" s="3">
        <v>6.56</v>
      </c>
      <c r="G90" s="3">
        <v>6.83</v>
      </c>
      <c r="H90" s="3">
        <v>6.04</v>
      </c>
      <c r="I90" s="3">
        <v>1.63</v>
      </c>
      <c r="J90" s="3">
        <v>3.31</v>
      </c>
      <c r="K90" s="3">
        <v>2.97</v>
      </c>
      <c r="L90" s="3">
        <v>1.04</v>
      </c>
      <c r="M90" s="3">
        <v>7.08</v>
      </c>
      <c r="N90" s="3">
        <v>2.78</v>
      </c>
      <c r="O90" s="3">
        <v>0.3</v>
      </c>
      <c r="P90" s="3">
        <v>6.28</v>
      </c>
      <c r="Q90" s="3">
        <v>2.46</v>
      </c>
      <c r="R90" s="3">
        <f t="shared" si="1"/>
        <v>60</v>
      </c>
    </row>
    <row r="91" spans="1:18">
      <c r="B91" s="1">
        <v>89</v>
      </c>
      <c r="C91" s="3">
        <v>1.59</v>
      </c>
      <c r="D91" s="3">
        <v>6.28</v>
      </c>
      <c r="E91" s="3">
        <v>0.55</v>
      </c>
      <c r="F91" s="3">
        <v>0.42</v>
      </c>
      <c r="G91" s="3">
        <v>3.85</v>
      </c>
      <c r="H91" s="3">
        <v>7.77</v>
      </c>
      <c r="I91" s="3">
        <v>6.74</v>
      </c>
      <c r="J91" s="3">
        <v>6.25</v>
      </c>
      <c r="K91" s="3">
        <v>2.74</v>
      </c>
      <c r="L91" s="3">
        <v>7.34</v>
      </c>
      <c r="M91" s="3">
        <v>6.4</v>
      </c>
      <c r="N91" s="3">
        <v>4.06</v>
      </c>
      <c r="O91" s="3">
        <v>3.92</v>
      </c>
      <c r="P91" s="3">
        <v>0.42</v>
      </c>
      <c r="Q91" s="3">
        <v>1.67</v>
      </c>
      <c r="R91" s="3">
        <f t="shared" si="1"/>
        <v>60</v>
      </c>
    </row>
    <row r="92" spans="1:18">
      <c r="B92" s="1">
        <v>90</v>
      </c>
      <c r="C92" s="3">
        <v>5.54</v>
      </c>
      <c r="D92" s="3">
        <v>4.21</v>
      </c>
      <c r="E92" s="3">
        <v>0.5</v>
      </c>
      <c r="F92" s="3">
        <v>5.66</v>
      </c>
      <c r="G92" s="3">
        <v>4.48</v>
      </c>
      <c r="H92" s="3">
        <v>5.85</v>
      </c>
      <c r="I92" s="3">
        <v>6.39</v>
      </c>
      <c r="J92" s="3">
        <v>0.88</v>
      </c>
      <c r="K92" s="3">
        <v>6.33</v>
      </c>
      <c r="L92" s="3">
        <v>5.32</v>
      </c>
      <c r="M92" s="3">
        <v>3.52</v>
      </c>
      <c r="N92" s="3">
        <v>3.83</v>
      </c>
      <c r="O92" s="3">
        <v>4.74</v>
      </c>
      <c r="P92" s="3">
        <v>0.61</v>
      </c>
      <c r="Q92" s="3">
        <v>2.14</v>
      </c>
      <c r="R92" s="3">
        <f t="shared" si="1"/>
        <v>60</v>
      </c>
    </row>
    <row r="93" spans="1:18">
      <c r="A93" s="1" t="s">
        <v>13</v>
      </c>
      <c r="B93" s="1">
        <v>91</v>
      </c>
      <c r="C93" s="3">
        <v>1.2</v>
      </c>
      <c r="D93" s="3">
        <v>4.44</v>
      </c>
      <c r="E93" s="3">
        <v>1.31</v>
      </c>
      <c r="F93" s="3">
        <v>6.78</v>
      </c>
      <c r="G93" s="3">
        <v>4.03</v>
      </c>
      <c r="H93" s="3">
        <v>3.84</v>
      </c>
      <c r="I93" s="3">
        <v>3.42</v>
      </c>
      <c r="J93" s="3">
        <v>8.05</v>
      </c>
      <c r="K93" s="3">
        <v>6.27</v>
      </c>
      <c r="L93" s="3">
        <v>2.61</v>
      </c>
      <c r="M93" s="3">
        <v>6.23</v>
      </c>
      <c r="N93" s="3">
        <v>1.25</v>
      </c>
      <c r="O93" s="3">
        <v>1.62</v>
      </c>
      <c r="P93" s="3">
        <v>1.72</v>
      </c>
      <c r="Q93" s="3">
        <v>7.23</v>
      </c>
      <c r="R93" s="3">
        <f t="shared" si="1"/>
        <v>60</v>
      </c>
    </row>
    <row r="94" spans="1:18">
      <c r="B94" s="1">
        <v>92</v>
      </c>
      <c r="C94" s="3">
        <v>1.86</v>
      </c>
      <c r="D94" s="3">
        <v>2.39</v>
      </c>
      <c r="E94" s="3">
        <v>7.57</v>
      </c>
      <c r="F94" s="3">
        <v>5.49</v>
      </c>
      <c r="G94" s="3">
        <v>7.69</v>
      </c>
      <c r="H94" s="3">
        <v>6.64</v>
      </c>
      <c r="I94" s="3">
        <v>6.03</v>
      </c>
      <c r="J94" s="3">
        <v>0.5</v>
      </c>
      <c r="K94" s="3">
        <v>3.47</v>
      </c>
      <c r="L94" s="3">
        <v>4.75</v>
      </c>
      <c r="M94" s="3">
        <v>4.04</v>
      </c>
      <c r="N94" s="3">
        <v>2.82</v>
      </c>
      <c r="O94" s="3">
        <v>0.84</v>
      </c>
      <c r="P94" s="3">
        <v>4.72</v>
      </c>
      <c r="Q94" s="3">
        <v>1.19</v>
      </c>
      <c r="R94" s="3">
        <f t="shared" si="1"/>
        <v>60</v>
      </c>
    </row>
    <row r="95" spans="1:18">
      <c r="B95" s="1">
        <v>93</v>
      </c>
      <c r="C95" s="3">
        <v>5.75</v>
      </c>
      <c r="D95" s="3">
        <v>6.67</v>
      </c>
      <c r="E95" s="3">
        <v>0.36</v>
      </c>
      <c r="F95" s="3">
        <v>7.25</v>
      </c>
      <c r="G95" s="3">
        <v>2.9</v>
      </c>
      <c r="H95" s="3">
        <v>3.5</v>
      </c>
      <c r="I95" s="3">
        <v>4.56</v>
      </c>
      <c r="J95" s="3">
        <v>3.6</v>
      </c>
      <c r="K95" s="3">
        <v>2.86</v>
      </c>
      <c r="L95" s="3">
        <v>3.94</v>
      </c>
      <c r="M95" s="3">
        <v>3.44</v>
      </c>
      <c r="N95" s="3">
        <v>7.11</v>
      </c>
      <c r="O95" s="3">
        <v>2.04</v>
      </c>
      <c r="P95" s="3">
        <v>2.65</v>
      </c>
      <c r="Q95" s="3">
        <v>3.37</v>
      </c>
      <c r="R95" s="3">
        <f t="shared" si="1"/>
        <v>60</v>
      </c>
    </row>
    <row r="96" spans="1:18">
      <c r="B96" s="1">
        <v>94</v>
      </c>
      <c r="C96" s="3">
        <v>3.26</v>
      </c>
      <c r="D96" s="3">
        <v>0.4</v>
      </c>
      <c r="E96" s="3">
        <v>7.75</v>
      </c>
      <c r="F96" s="3">
        <v>7.23</v>
      </c>
      <c r="G96" s="3">
        <v>7.21</v>
      </c>
      <c r="H96" s="3">
        <v>5.22</v>
      </c>
      <c r="I96" s="3">
        <v>0.65</v>
      </c>
      <c r="J96" s="3">
        <v>5.97</v>
      </c>
      <c r="K96" s="3">
        <v>1.73</v>
      </c>
      <c r="L96" s="3">
        <v>2.75</v>
      </c>
      <c r="M96" s="3">
        <v>3.3</v>
      </c>
      <c r="N96" s="3">
        <v>4.73</v>
      </c>
      <c r="O96" s="3">
        <v>0.57</v>
      </c>
      <c r="P96" s="3">
        <v>3.92</v>
      </c>
      <c r="Q96" s="3">
        <v>5.31</v>
      </c>
      <c r="R96" s="3">
        <f t="shared" si="1"/>
        <v>60</v>
      </c>
    </row>
    <row r="97" spans="1:18">
      <c r="B97" s="1">
        <v>95</v>
      </c>
      <c r="C97" s="3">
        <v>2.35</v>
      </c>
      <c r="D97" s="3">
        <v>6.42</v>
      </c>
      <c r="E97" s="3">
        <v>6.45</v>
      </c>
      <c r="F97" s="3">
        <v>4.1</v>
      </c>
      <c r="G97" s="3">
        <v>1.01</v>
      </c>
      <c r="H97" s="3">
        <v>1.75</v>
      </c>
      <c r="I97" s="3">
        <v>5.74</v>
      </c>
      <c r="J97" s="3">
        <v>2.85</v>
      </c>
      <c r="K97" s="3">
        <v>5.62</v>
      </c>
      <c r="L97" s="3">
        <v>0.94</v>
      </c>
      <c r="M97" s="3">
        <v>1.38</v>
      </c>
      <c r="N97" s="3">
        <v>6.22</v>
      </c>
      <c r="O97" s="3">
        <v>1.12</v>
      </c>
      <c r="P97" s="3">
        <v>3.2</v>
      </c>
      <c r="Q97" s="3">
        <v>10.85</v>
      </c>
      <c r="R97" s="3">
        <f t="shared" si="1"/>
        <v>60</v>
      </c>
    </row>
    <row r="98" spans="1:18">
      <c r="B98" s="1">
        <v>96</v>
      </c>
      <c r="C98" s="3">
        <v>1.18</v>
      </c>
      <c r="D98" s="3">
        <v>0.72</v>
      </c>
      <c r="E98" s="3">
        <v>2</v>
      </c>
      <c r="F98" s="3">
        <v>3.41</v>
      </c>
      <c r="G98" s="3">
        <v>9.34</v>
      </c>
      <c r="H98" s="3">
        <v>0.44</v>
      </c>
      <c r="I98" s="3">
        <v>6.79</v>
      </c>
      <c r="J98" s="3">
        <v>8.29</v>
      </c>
      <c r="K98" s="3">
        <v>4.33</v>
      </c>
      <c r="L98" s="3">
        <v>1.02</v>
      </c>
      <c r="M98" s="3">
        <v>1.73</v>
      </c>
      <c r="N98" s="3">
        <v>10.26</v>
      </c>
      <c r="O98" s="3">
        <v>6.46</v>
      </c>
      <c r="P98" s="3">
        <v>0.2</v>
      </c>
      <c r="Q98" s="3">
        <v>3.83</v>
      </c>
      <c r="R98" s="3">
        <f t="shared" si="1"/>
        <v>60</v>
      </c>
    </row>
    <row r="99" spans="1:18">
      <c r="B99" s="1">
        <v>97</v>
      </c>
      <c r="C99" s="3">
        <v>4.35</v>
      </c>
      <c r="D99" s="3">
        <v>0.39</v>
      </c>
      <c r="E99" s="3">
        <v>0.42</v>
      </c>
      <c r="F99" s="3">
        <v>0.45</v>
      </c>
      <c r="G99" s="3">
        <v>9.26</v>
      </c>
      <c r="H99" s="3">
        <v>4.93</v>
      </c>
      <c r="I99" s="3">
        <v>6.62</v>
      </c>
      <c r="J99" s="3">
        <v>4.4</v>
      </c>
      <c r="K99" s="3">
        <v>6.24</v>
      </c>
      <c r="L99" s="3">
        <v>3.18</v>
      </c>
      <c r="M99" s="3">
        <v>3.58</v>
      </c>
      <c r="N99" s="3">
        <v>6.04</v>
      </c>
      <c r="O99" s="3">
        <v>5.58</v>
      </c>
      <c r="P99" s="3">
        <v>3.56</v>
      </c>
      <c r="Q99" s="3">
        <v>1</v>
      </c>
      <c r="R99" s="3">
        <f t="shared" si="1"/>
        <v>60</v>
      </c>
    </row>
    <row r="100" spans="1:18">
      <c r="B100" s="1">
        <v>98</v>
      </c>
      <c r="C100" s="3">
        <v>2.01</v>
      </c>
      <c r="D100" s="3">
        <v>4.41</v>
      </c>
      <c r="E100" s="3">
        <v>1.1</v>
      </c>
      <c r="F100" s="3">
        <v>4.76</v>
      </c>
      <c r="G100" s="3">
        <v>8.06</v>
      </c>
      <c r="H100" s="3">
        <v>5.5</v>
      </c>
      <c r="I100" s="3">
        <v>1.06</v>
      </c>
      <c r="J100" s="3">
        <v>4.54</v>
      </c>
      <c r="K100" s="3">
        <v>2.78</v>
      </c>
      <c r="L100" s="3">
        <v>8.38</v>
      </c>
      <c r="M100" s="3">
        <v>6</v>
      </c>
      <c r="N100" s="3">
        <v>4.22</v>
      </c>
      <c r="O100" s="3">
        <v>0.73</v>
      </c>
      <c r="P100" s="3">
        <v>2.52</v>
      </c>
      <c r="Q100" s="3">
        <v>3.93</v>
      </c>
      <c r="R100" s="3">
        <f t="shared" si="1"/>
        <v>60</v>
      </c>
    </row>
    <row r="101" spans="1:18">
      <c r="B101" s="1">
        <v>99</v>
      </c>
      <c r="C101" s="3">
        <v>3.12</v>
      </c>
      <c r="D101" s="3">
        <v>6.49</v>
      </c>
      <c r="E101" s="3">
        <v>2.74</v>
      </c>
      <c r="F101" s="3">
        <v>5.57</v>
      </c>
      <c r="G101" s="3">
        <v>4.21</v>
      </c>
      <c r="H101" s="3">
        <v>3.95</v>
      </c>
      <c r="I101" s="3">
        <v>0.37</v>
      </c>
      <c r="J101" s="3">
        <v>2.5</v>
      </c>
      <c r="K101" s="3">
        <v>8.36</v>
      </c>
      <c r="L101" s="3">
        <v>3.82</v>
      </c>
      <c r="M101" s="3">
        <v>2.98</v>
      </c>
      <c r="N101" s="3">
        <v>0.94</v>
      </c>
      <c r="O101" s="3">
        <v>9.52</v>
      </c>
      <c r="P101" s="3">
        <v>4.55</v>
      </c>
      <c r="Q101" s="3">
        <v>0.88</v>
      </c>
      <c r="R101" s="3">
        <f t="shared" si="1"/>
        <v>60</v>
      </c>
    </row>
    <row r="102" spans="1:18">
      <c r="B102" s="1">
        <v>100</v>
      </c>
      <c r="C102" s="3">
        <v>1.39</v>
      </c>
      <c r="D102" s="3">
        <v>8.29</v>
      </c>
      <c r="E102" s="3">
        <v>4.13</v>
      </c>
      <c r="F102" s="3">
        <v>3.78</v>
      </c>
      <c r="G102" s="3">
        <v>2.56</v>
      </c>
      <c r="H102" s="3">
        <v>1.91</v>
      </c>
      <c r="I102" s="3">
        <v>0.45</v>
      </c>
      <c r="J102" s="3">
        <v>7.14</v>
      </c>
      <c r="K102" s="3">
        <v>0.77</v>
      </c>
      <c r="L102" s="3">
        <v>5.53</v>
      </c>
      <c r="M102" s="3">
        <v>0.48</v>
      </c>
      <c r="N102" s="3">
        <v>4.19</v>
      </c>
      <c r="O102" s="3">
        <v>8.59</v>
      </c>
      <c r="P102" s="3">
        <v>8.34</v>
      </c>
      <c r="Q102" s="3">
        <v>2.45</v>
      </c>
      <c r="R102" s="3">
        <f t="shared" si="1"/>
        <v>60</v>
      </c>
    </row>
    <row r="103" spans="1:18">
      <c r="A103" s="1" t="s">
        <v>14</v>
      </c>
      <c r="B103" s="1">
        <v>101</v>
      </c>
      <c r="C103" s="3">
        <v>7.68</v>
      </c>
      <c r="D103" s="3">
        <v>6.73</v>
      </c>
      <c r="E103" s="3">
        <v>2.73</v>
      </c>
      <c r="F103" s="3">
        <v>0.35</v>
      </c>
      <c r="G103" s="3">
        <v>1.92</v>
      </c>
      <c r="H103" s="3">
        <v>1.73</v>
      </c>
      <c r="I103" s="3">
        <v>4.8</v>
      </c>
      <c r="J103" s="3">
        <v>5.36</v>
      </c>
      <c r="K103" s="3">
        <v>4.97</v>
      </c>
      <c r="L103" s="3">
        <v>5.7</v>
      </c>
      <c r="M103" s="3">
        <v>1.93</v>
      </c>
      <c r="N103" s="3">
        <v>0.4</v>
      </c>
      <c r="O103" s="3">
        <v>9.32</v>
      </c>
      <c r="P103" s="3">
        <v>4.94</v>
      </c>
      <c r="Q103" s="3">
        <v>1.44</v>
      </c>
      <c r="R103" s="3">
        <f t="shared" si="1"/>
        <v>60</v>
      </c>
    </row>
    <row r="104" spans="1:18">
      <c r="B104" s="1">
        <v>102</v>
      </c>
      <c r="C104" s="3">
        <v>3.33</v>
      </c>
      <c r="D104" s="3">
        <v>3.95</v>
      </c>
      <c r="E104" s="3">
        <v>0.48</v>
      </c>
      <c r="F104" s="3">
        <v>2.03</v>
      </c>
      <c r="G104" s="3">
        <v>0.45</v>
      </c>
      <c r="H104" s="3">
        <v>1.38</v>
      </c>
      <c r="I104" s="3">
        <v>9.66</v>
      </c>
      <c r="J104" s="3">
        <v>3.21</v>
      </c>
      <c r="K104" s="3">
        <v>9.99</v>
      </c>
      <c r="L104" s="3">
        <v>6.06</v>
      </c>
      <c r="M104" s="3">
        <v>1.16</v>
      </c>
      <c r="N104" s="3">
        <v>8.88</v>
      </c>
      <c r="O104" s="3">
        <v>2.94</v>
      </c>
      <c r="P104" s="3">
        <v>2.82</v>
      </c>
      <c r="Q104" s="3">
        <v>3.66</v>
      </c>
      <c r="R104" s="3">
        <f t="shared" si="1"/>
        <v>60</v>
      </c>
    </row>
    <row r="105" spans="1:18">
      <c r="B105" s="1">
        <v>103</v>
      </c>
      <c r="C105" s="3">
        <v>3.79</v>
      </c>
      <c r="D105" s="3">
        <v>5.74</v>
      </c>
      <c r="E105" s="3">
        <v>5.76</v>
      </c>
      <c r="F105" s="3">
        <v>5.77</v>
      </c>
      <c r="G105" s="3">
        <v>5.55</v>
      </c>
      <c r="H105" s="3">
        <v>1.55</v>
      </c>
      <c r="I105" s="3">
        <v>2.15</v>
      </c>
      <c r="J105" s="3">
        <v>0.82</v>
      </c>
      <c r="K105" s="3">
        <v>0.41</v>
      </c>
      <c r="L105" s="3">
        <v>5.55</v>
      </c>
      <c r="M105" s="3">
        <v>4.71</v>
      </c>
      <c r="N105" s="3">
        <v>4.23</v>
      </c>
      <c r="O105" s="3">
        <v>1.21</v>
      </c>
      <c r="P105" s="3">
        <v>8.08</v>
      </c>
      <c r="Q105" s="3">
        <v>4.68</v>
      </c>
      <c r="R105" s="3">
        <f t="shared" si="1"/>
        <v>60</v>
      </c>
    </row>
    <row r="106" spans="1:18">
      <c r="B106" s="1">
        <v>104</v>
      </c>
      <c r="C106" s="3">
        <v>2.55</v>
      </c>
      <c r="D106" s="3">
        <v>4.46</v>
      </c>
      <c r="E106" s="3">
        <v>2.91</v>
      </c>
      <c r="F106" s="3">
        <v>3.12</v>
      </c>
      <c r="G106" s="3">
        <v>7.96</v>
      </c>
      <c r="H106" s="3">
        <v>1.26</v>
      </c>
      <c r="I106" s="3">
        <v>0.78</v>
      </c>
      <c r="J106" s="3">
        <v>1.12</v>
      </c>
      <c r="K106" s="3">
        <v>9.38</v>
      </c>
      <c r="L106" s="3">
        <v>7.76</v>
      </c>
      <c r="M106" s="3">
        <v>5.17</v>
      </c>
      <c r="N106" s="3">
        <v>2.19</v>
      </c>
      <c r="O106" s="3">
        <v>6.29</v>
      </c>
      <c r="P106" s="3">
        <v>1.95</v>
      </c>
      <c r="Q106" s="3">
        <v>3.1</v>
      </c>
      <c r="R106" s="3">
        <f t="shared" si="1"/>
        <v>60</v>
      </c>
    </row>
    <row r="107" spans="1:18">
      <c r="B107" s="1">
        <v>105</v>
      </c>
      <c r="C107" s="3">
        <v>3.08</v>
      </c>
      <c r="D107" s="3">
        <v>6.72</v>
      </c>
      <c r="E107" s="3">
        <v>2</v>
      </c>
      <c r="F107" s="3">
        <v>5.63</v>
      </c>
      <c r="G107" s="3">
        <v>4.79</v>
      </c>
      <c r="H107" s="3">
        <v>6.66</v>
      </c>
      <c r="I107" s="3">
        <v>5.21</v>
      </c>
      <c r="J107" s="3">
        <v>0.46</v>
      </c>
      <c r="K107" s="3">
        <v>0.57</v>
      </c>
      <c r="L107" s="3">
        <v>0.48</v>
      </c>
      <c r="M107" s="3">
        <v>8.3</v>
      </c>
      <c r="N107" s="3">
        <v>6.4</v>
      </c>
      <c r="O107" s="3">
        <v>1.74</v>
      </c>
      <c r="P107" s="3">
        <v>1.27</v>
      </c>
      <c r="Q107" s="3">
        <v>6.69</v>
      </c>
      <c r="R107" s="3">
        <f t="shared" si="1"/>
        <v>60</v>
      </c>
    </row>
    <row r="108" spans="1:18">
      <c r="B108" s="1">
        <v>106</v>
      </c>
      <c r="C108" s="3">
        <v>1.29</v>
      </c>
      <c r="D108" s="3">
        <v>7.19</v>
      </c>
      <c r="E108" s="3">
        <v>2.3</v>
      </c>
      <c r="F108" s="3">
        <v>5.28</v>
      </c>
      <c r="G108" s="3">
        <v>6.91</v>
      </c>
      <c r="H108" s="3">
        <v>5.71</v>
      </c>
      <c r="I108" s="3">
        <v>0.74</v>
      </c>
      <c r="J108" s="3">
        <v>5.58</v>
      </c>
      <c r="K108" s="3">
        <v>3.8</v>
      </c>
      <c r="L108" s="3">
        <v>5.66</v>
      </c>
      <c r="M108" s="3">
        <v>5.97</v>
      </c>
      <c r="N108" s="3">
        <v>3.88</v>
      </c>
      <c r="O108" s="3">
        <v>0.45</v>
      </c>
      <c r="P108" s="3">
        <v>0.83</v>
      </c>
      <c r="Q108" s="3">
        <v>4.41</v>
      </c>
      <c r="R108" s="3">
        <f t="shared" si="1"/>
        <v>60</v>
      </c>
    </row>
    <row r="109" spans="1:18">
      <c r="B109" s="1">
        <v>107</v>
      </c>
      <c r="C109" s="3">
        <v>6.54</v>
      </c>
      <c r="D109" s="3">
        <v>7.29</v>
      </c>
      <c r="E109" s="3">
        <v>6.73</v>
      </c>
      <c r="F109" s="3">
        <v>4.27</v>
      </c>
      <c r="G109" s="3">
        <v>4.78</v>
      </c>
      <c r="H109" s="3">
        <v>5.75</v>
      </c>
      <c r="I109" s="3">
        <v>4.42</v>
      </c>
      <c r="J109" s="3">
        <v>2.69</v>
      </c>
      <c r="K109" s="3">
        <v>0.53</v>
      </c>
      <c r="L109" s="3">
        <v>3.3</v>
      </c>
      <c r="M109" s="3">
        <v>1.13</v>
      </c>
      <c r="N109" s="3">
        <v>0.31</v>
      </c>
      <c r="O109" s="3">
        <v>0.77</v>
      </c>
      <c r="P109" s="3">
        <v>6.73</v>
      </c>
      <c r="Q109" s="3">
        <v>4.76</v>
      </c>
      <c r="R109" s="3">
        <f t="shared" si="1"/>
        <v>60</v>
      </c>
    </row>
    <row r="110" spans="1:18">
      <c r="B110" s="1">
        <v>108</v>
      </c>
      <c r="C110" s="3">
        <v>0.4</v>
      </c>
      <c r="D110" s="3">
        <v>0.42</v>
      </c>
      <c r="E110" s="3">
        <v>1.14</v>
      </c>
      <c r="F110" s="3">
        <v>3.89</v>
      </c>
      <c r="G110" s="3">
        <v>4.1</v>
      </c>
      <c r="H110" s="3">
        <v>2.83</v>
      </c>
      <c r="I110" s="3">
        <v>8.27</v>
      </c>
      <c r="J110" s="3">
        <v>3.36</v>
      </c>
      <c r="K110" s="3">
        <v>8.31</v>
      </c>
      <c r="L110" s="3">
        <v>3.92</v>
      </c>
      <c r="M110" s="3">
        <v>4.98</v>
      </c>
      <c r="N110" s="3">
        <v>2.72</v>
      </c>
      <c r="O110" s="3">
        <v>7.13</v>
      </c>
      <c r="P110" s="3">
        <v>0.42</v>
      </c>
      <c r="Q110" s="3">
        <v>8.11</v>
      </c>
      <c r="R110" s="3">
        <f t="shared" si="1"/>
        <v>60</v>
      </c>
    </row>
    <row r="111" spans="1:18">
      <c r="B111" s="1">
        <v>109</v>
      </c>
      <c r="C111" s="3">
        <v>4.72</v>
      </c>
      <c r="D111" s="3">
        <v>3.68</v>
      </c>
      <c r="E111" s="3">
        <v>1.47</v>
      </c>
      <c r="F111" s="3">
        <v>3.31</v>
      </c>
      <c r="G111" s="3">
        <v>4.94</v>
      </c>
      <c r="H111" s="3">
        <v>0.68</v>
      </c>
      <c r="I111" s="3">
        <v>2.58</v>
      </c>
      <c r="J111" s="3">
        <v>2.5</v>
      </c>
      <c r="K111" s="3">
        <v>0.87</v>
      </c>
      <c r="L111" s="3">
        <v>3.8</v>
      </c>
      <c r="M111" s="3">
        <v>3.96</v>
      </c>
      <c r="N111" s="3">
        <v>13.67</v>
      </c>
      <c r="O111" s="3">
        <v>3.33</v>
      </c>
      <c r="P111" s="3">
        <v>4.16</v>
      </c>
      <c r="Q111" s="3">
        <v>6.33</v>
      </c>
      <c r="R111" s="3">
        <f t="shared" si="1"/>
        <v>60</v>
      </c>
    </row>
    <row r="112" spans="1:18">
      <c r="B112" s="1">
        <v>110</v>
      </c>
      <c r="C112" s="3">
        <v>7.68</v>
      </c>
      <c r="D112" s="3">
        <v>4.36</v>
      </c>
      <c r="E112" s="3">
        <v>5.96</v>
      </c>
      <c r="F112" s="3">
        <v>6.11</v>
      </c>
      <c r="G112" s="3">
        <v>2.13</v>
      </c>
      <c r="H112" s="3">
        <v>4.32</v>
      </c>
      <c r="I112" s="3">
        <v>1.28</v>
      </c>
      <c r="J112" s="3">
        <v>5.54</v>
      </c>
      <c r="K112" s="3">
        <v>5.68</v>
      </c>
      <c r="L112" s="3">
        <v>2.41</v>
      </c>
      <c r="M112" s="3">
        <v>1.3</v>
      </c>
      <c r="N112" s="3">
        <v>5.85</v>
      </c>
      <c r="O112" s="3">
        <v>4.24</v>
      </c>
      <c r="P112" s="3">
        <v>2.26</v>
      </c>
      <c r="Q112" s="3">
        <v>0.88</v>
      </c>
      <c r="R112" s="3">
        <f t="shared" si="1"/>
        <v>60</v>
      </c>
    </row>
    <row r="113" spans="1:18">
      <c r="A113" s="1" t="s">
        <v>15</v>
      </c>
      <c r="B113" s="1">
        <v>111</v>
      </c>
      <c r="C113" s="3">
        <v>1.56</v>
      </c>
      <c r="D113" s="3">
        <v>3.51</v>
      </c>
      <c r="E113" s="3">
        <v>6.82</v>
      </c>
      <c r="F113" s="3">
        <v>2.12</v>
      </c>
      <c r="G113" s="3">
        <v>7.63</v>
      </c>
      <c r="H113" s="3">
        <v>7.44</v>
      </c>
      <c r="I113" s="3">
        <v>0.84</v>
      </c>
      <c r="J113" s="3">
        <v>2.81</v>
      </c>
      <c r="K113" s="3">
        <v>7.71</v>
      </c>
      <c r="L113" s="3">
        <v>5.04</v>
      </c>
      <c r="M113" s="3">
        <v>2.35</v>
      </c>
      <c r="N113" s="3">
        <v>2.71</v>
      </c>
      <c r="O113" s="3">
        <v>1.01</v>
      </c>
      <c r="P113" s="3">
        <v>8.43</v>
      </c>
      <c r="Q113" s="3">
        <v>0.02</v>
      </c>
      <c r="R113" s="3">
        <f t="shared" si="1"/>
        <v>60</v>
      </c>
    </row>
    <row r="114" spans="1:18">
      <c r="B114" s="1">
        <v>112</v>
      </c>
      <c r="C114" s="3">
        <v>5.49</v>
      </c>
      <c r="D114" s="3">
        <v>2.58</v>
      </c>
      <c r="E114" s="3">
        <v>2.38</v>
      </c>
      <c r="F114" s="3">
        <v>5.47</v>
      </c>
      <c r="G114" s="3">
        <v>3.28</v>
      </c>
      <c r="H114" s="3">
        <v>7.23</v>
      </c>
      <c r="I114" s="3">
        <v>2.88</v>
      </c>
      <c r="J114" s="3">
        <v>2.07</v>
      </c>
      <c r="K114" s="3">
        <v>0.4</v>
      </c>
      <c r="L114" s="3">
        <v>1.78</v>
      </c>
      <c r="M114" s="3">
        <v>3.36</v>
      </c>
      <c r="N114" s="3">
        <v>10.15</v>
      </c>
      <c r="O114" s="3">
        <v>3.99</v>
      </c>
      <c r="P114" s="3">
        <v>0.48</v>
      </c>
      <c r="Q114" s="3">
        <v>8.46</v>
      </c>
      <c r="R114" s="3">
        <f t="shared" si="1"/>
        <v>60</v>
      </c>
    </row>
    <row r="115" spans="1:18">
      <c r="B115" s="1">
        <v>113</v>
      </c>
      <c r="C115" s="3">
        <v>7.21</v>
      </c>
      <c r="D115" s="3">
        <v>0.37</v>
      </c>
      <c r="E115" s="3">
        <v>5.45</v>
      </c>
      <c r="F115" s="3">
        <v>6.13</v>
      </c>
      <c r="G115" s="3">
        <v>5.77</v>
      </c>
      <c r="H115" s="3">
        <v>1.42</v>
      </c>
      <c r="I115" s="3">
        <v>5.2</v>
      </c>
      <c r="J115" s="3">
        <v>7.02</v>
      </c>
      <c r="K115" s="3">
        <v>1.24</v>
      </c>
      <c r="L115" s="3">
        <v>4.33</v>
      </c>
      <c r="M115" s="3">
        <v>0.74</v>
      </c>
      <c r="N115" s="3">
        <v>7.24</v>
      </c>
      <c r="O115" s="3">
        <v>4.39</v>
      </c>
      <c r="P115" s="3">
        <v>0.39</v>
      </c>
      <c r="Q115" s="3">
        <v>3.1</v>
      </c>
      <c r="R115" s="3">
        <f t="shared" si="1"/>
        <v>60</v>
      </c>
    </row>
    <row r="116" spans="1:18">
      <c r="B116" s="1">
        <v>114</v>
      </c>
      <c r="C116" s="3">
        <v>6.28</v>
      </c>
      <c r="D116" s="3">
        <v>4.92</v>
      </c>
      <c r="E116" s="3">
        <v>6.31</v>
      </c>
      <c r="F116" s="3">
        <v>5.54</v>
      </c>
      <c r="G116" s="3">
        <v>5.2</v>
      </c>
      <c r="H116" s="3">
        <v>1.05</v>
      </c>
      <c r="I116" s="3">
        <v>3.99</v>
      </c>
      <c r="J116" s="3">
        <v>3.05</v>
      </c>
      <c r="K116" s="3">
        <v>4.95</v>
      </c>
      <c r="L116" s="3">
        <v>3.83</v>
      </c>
      <c r="M116" s="3">
        <v>2.97</v>
      </c>
      <c r="N116" s="3">
        <v>4.65</v>
      </c>
      <c r="O116" s="3">
        <v>2.1</v>
      </c>
      <c r="P116" s="3">
        <v>5.04</v>
      </c>
      <c r="Q116" s="3">
        <v>0.12</v>
      </c>
      <c r="R116" s="3">
        <f t="shared" si="1"/>
        <v>60</v>
      </c>
    </row>
    <row r="117" spans="1:18">
      <c r="B117" s="1">
        <v>115</v>
      </c>
      <c r="C117" s="3">
        <v>3.83</v>
      </c>
      <c r="D117" s="3">
        <v>2.22</v>
      </c>
      <c r="E117" s="3">
        <v>4.9</v>
      </c>
      <c r="F117" s="3">
        <v>1.45</v>
      </c>
      <c r="G117" s="3">
        <v>2.86</v>
      </c>
      <c r="H117" s="3">
        <v>1.88</v>
      </c>
      <c r="I117" s="3">
        <v>5.41</v>
      </c>
      <c r="J117" s="3">
        <v>0.89</v>
      </c>
      <c r="K117" s="3">
        <v>0.52</v>
      </c>
      <c r="L117" s="3">
        <v>4.25</v>
      </c>
      <c r="M117" s="3">
        <v>2.93</v>
      </c>
      <c r="N117" s="3">
        <v>0.72</v>
      </c>
      <c r="O117" s="3">
        <v>9.61</v>
      </c>
      <c r="P117" s="3">
        <v>6.22</v>
      </c>
      <c r="Q117" s="3">
        <v>12.31</v>
      </c>
      <c r="R117" s="3">
        <f t="shared" si="1"/>
        <v>60</v>
      </c>
    </row>
    <row r="118" spans="1:18">
      <c r="B118" s="1">
        <v>116</v>
      </c>
      <c r="C118" s="3">
        <v>0.99</v>
      </c>
      <c r="D118" s="3">
        <v>3.76</v>
      </c>
      <c r="E118" s="3">
        <v>1.88</v>
      </c>
      <c r="F118" s="3">
        <v>8.25</v>
      </c>
      <c r="G118" s="3">
        <v>5.83</v>
      </c>
      <c r="H118" s="3">
        <v>5.06</v>
      </c>
      <c r="I118" s="3">
        <v>6.79</v>
      </c>
      <c r="J118" s="3">
        <v>1.01</v>
      </c>
      <c r="K118" s="3">
        <v>2.68</v>
      </c>
      <c r="L118" s="3">
        <v>2.16</v>
      </c>
      <c r="M118" s="3">
        <v>5.26</v>
      </c>
      <c r="N118" s="3">
        <v>6.65</v>
      </c>
      <c r="O118" s="3">
        <v>5.08</v>
      </c>
      <c r="P118" s="3">
        <v>4.48</v>
      </c>
      <c r="Q118" s="3">
        <v>0.12</v>
      </c>
      <c r="R118" s="3">
        <f t="shared" si="1"/>
        <v>60</v>
      </c>
    </row>
    <row r="119" spans="1:18">
      <c r="B119" s="1">
        <v>117</v>
      </c>
      <c r="C119" s="3">
        <v>4.28</v>
      </c>
      <c r="D119" s="3">
        <v>0.39</v>
      </c>
      <c r="E119" s="3">
        <v>2.52</v>
      </c>
      <c r="F119" s="3">
        <v>3.31</v>
      </c>
      <c r="G119" s="3">
        <v>0.62</v>
      </c>
      <c r="H119" s="3">
        <v>1.29</v>
      </c>
      <c r="I119" s="3">
        <v>5.04</v>
      </c>
      <c r="J119" s="3">
        <v>3.62</v>
      </c>
      <c r="K119" s="3">
        <v>6.33</v>
      </c>
      <c r="L119" s="3">
        <v>1.75</v>
      </c>
      <c r="M119" s="3">
        <v>10.22</v>
      </c>
      <c r="N119" s="3">
        <v>0.76</v>
      </c>
      <c r="O119" s="3">
        <v>4.56</v>
      </c>
      <c r="P119" s="3">
        <v>8.94</v>
      </c>
      <c r="Q119" s="3">
        <v>6.37</v>
      </c>
      <c r="R119" s="3">
        <f t="shared" si="1"/>
        <v>60</v>
      </c>
    </row>
    <row r="120" spans="1:18">
      <c r="B120" s="1">
        <v>118</v>
      </c>
      <c r="C120" s="3">
        <v>1.92</v>
      </c>
      <c r="D120" s="3">
        <v>4.51</v>
      </c>
      <c r="E120" s="3">
        <v>7.39</v>
      </c>
      <c r="F120" s="3">
        <v>7.67</v>
      </c>
      <c r="G120" s="3">
        <v>1.16</v>
      </c>
      <c r="H120" s="3">
        <v>4.72</v>
      </c>
      <c r="I120" s="3">
        <v>3.62</v>
      </c>
      <c r="J120" s="3">
        <v>1.76</v>
      </c>
      <c r="K120" s="3">
        <v>6.97</v>
      </c>
      <c r="L120" s="3">
        <v>5.68</v>
      </c>
      <c r="M120" s="3">
        <v>2.92</v>
      </c>
      <c r="N120" s="3">
        <v>4.88</v>
      </c>
      <c r="O120" s="3">
        <v>0.47</v>
      </c>
      <c r="P120" s="3">
        <v>4.91</v>
      </c>
      <c r="Q120" s="3">
        <v>1.42</v>
      </c>
      <c r="R120" s="3">
        <f t="shared" si="1"/>
        <v>60</v>
      </c>
    </row>
    <row r="121" spans="1:18">
      <c r="B121" s="1">
        <v>119</v>
      </c>
      <c r="C121" s="3">
        <v>5.89</v>
      </c>
      <c r="D121" s="3">
        <v>3.41</v>
      </c>
      <c r="E121" s="3">
        <v>6.4</v>
      </c>
      <c r="F121" s="3">
        <v>4.9</v>
      </c>
      <c r="G121" s="3">
        <v>5.41</v>
      </c>
      <c r="H121" s="3">
        <v>5.36</v>
      </c>
      <c r="I121" s="3">
        <v>0.31</v>
      </c>
      <c r="J121" s="3">
        <v>4.53</v>
      </c>
      <c r="K121" s="3">
        <v>4.46</v>
      </c>
      <c r="L121" s="3">
        <v>4.62</v>
      </c>
      <c r="M121" s="3">
        <v>1.42</v>
      </c>
      <c r="N121" s="3">
        <v>4.13</v>
      </c>
      <c r="O121" s="3">
        <v>2.56</v>
      </c>
      <c r="P121" s="3">
        <v>2.33</v>
      </c>
      <c r="Q121" s="3">
        <v>4.27</v>
      </c>
      <c r="R121" s="3">
        <f t="shared" si="1"/>
        <v>60</v>
      </c>
    </row>
    <row r="122" spans="1:18">
      <c r="B122" s="1">
        <v>120</v>
      </c>
      <c r="C122" s="3">
        <v>1.71</v>
      </c>
      <c r="D122" s="3">
        <v>2.71</v>
      </c>
      <c r="E122" s="3">
        <v>3.9</v>
      </c>
      <c r="F122" s="3">
        <v>6.48</v>
      </c>
      <c r="G122" s="3">
        <v>4.94</v>
      </c>
      <c r="H122" s="3">
        <v>3.61</v>
      </c>
      <c r="I122" s="3">
        <v>4.5</v>
      </c>
      <c r="J122" s="3">
        <v>4.16</v>
      </c>
      <c r="K122" s="3">
        <v>7.58</v>
      </c>
      <c r="L122" s="3">
        <v>3.14</v>
      </c>
      <c r="M122" s="3">
        <v>4</v>
      </c>
      <c r="N122" s="3">
        <v>6.15</v>
      </c>
      <c r="O122" s="3">
        <v>2.71</v>
      </c>
      <c r="P122" s="3">
        <v>2.23</v>
      </c>
      <c r="Q122" s="3">
        <v>2.18</v>
      </c>
      <c r="R122" s="3">
        <f t="shared" si="1"/>
        <v>60</v>
      </c>
    </row>
    <row r="123" spans="1:18">
      <c r="A123" s="1" t="s">
        <v>16</v>
      </c>
      <c r="B123" s="1">
        <v>121</v>
      </c>
      <c r="C123" s="3">
        <v>7.6</v>
      </c>
      <c r="D123" s="3">
        <v>5.14</v>
      </c>
      <c r="E123" s="3">
        <v>2.91</v>
      </c>
      <c r="F123" s="3">
        <v>2.27</v>
      </c>
      <c r="G123" s="3">
        <v>6.93</v>
      </c>
      <c r="H123" s="3">
        <v>2.84</v>
      </c>
      <c r="I123" s="3">
        <v>2.53</v>
      </c>
      <c r="J123" s="3">
        <v>0.82</v>
      </c>
      <c r="K123" s="3">
        <v>7.77</v>
      </c>
      <c r="L123" s="3">
        <v>4.54</v>
      </c>
      <c r="M123" s="3">
        <v>6.51</v>
      </c>
      <c r="N123" s="3">
        <v>1.66</v>
      </c>
      <c r="O123" s="3">
        <v>1.53</v>
      </c>
      <c r="P123" s="3">
        <v>6</v>
      </c>
      <c r="Q123" s="3">
        <v>0.95</v>
      </c>
      <c r="R123" s="3">
        <f t="shared" si="1"/>
        <v>60</v>
      </c>
    </row>
    <row r="124" spans="1:18">
      <c r="B124" s="1">
        <v>122</v>
      </c>
      <c r="C124" s="3">
        <v>5.15</v>
      </c>
      <c r="D124" s="3">
        <v>3.69</v>
      </c>
      <c r="E124" s="3">
        <v>1.58</v>
      </c>
      <c r="F124" s="3">
        <v>2.55</v>
      </c>
      <c r="G124" s="3">
        <v>7.62</v>
      </c>
      <c r="H124" s="3">
        <v>7.41</v>
      </c>
      <c r="I124" s="3">
        <v>5.69</v>
      </c>
      <c r="J124" s="3">
        <v>3.91</v>
      </c>
      <c r="K124" s="3">
        <v>2.02</v>
      </c>
      <c r="L124" s="3">
        <v>4.66</v>
      </c>
      <c r="M124" s="3">
        <v>2.46</v>
      </c>
      <c r="N124" s="3">
        <v>0.54</v>
      </c>
      <c r="O124" s="3">
        <v>4.3</v>
      </c>
      <c r="P124" s="3">
        <v>3.7</v>
      </c>
      <c r="Q124" s="3">
        <v>4.72</v>
      </c>
      <c r="R124" s="3">
        <f t="shared" si="1"/>
        <v>60</v>
      </c>
    </row>
    <row r="125" spans="1:18">
      <c r="B125" s="1">
        <v>123</v>
      </c>
      <c r="C125" s="3">
        <v>3.63</v>
      </c>
      <c r="D125" s="3">
        <v>4.86</v>
      </c>
      <c r="E125" s="3">
        <v>4.89</v>
      </c>
      <c r="F125" s="3">
        <v>5.55</v>
      </c>
      <c r="G125" s="3">
        <v>3.55</v>
      </c>
      <c r="H125" s="3">
        <v>7.41</v>
      </c>
      <c r="I125" s="3">
        <v>1.31</v>
      </c>
      <c r="J125" s="3">
        <v>0.92</v>
      </c>
      <c r="K125" s="3">
        <v>4.78</v>
      </c>
      <c r="L125" s="3">
        <v>6.06</v>
      </c>
      <c r="M125" s="3">
        <v>1.25</v>
      </c>
      <c r="N125" s="3">
        <v>0.39</v>
      </c>
      <c r="O125" s="3">
        <v>6.39</v>
      </c>
      <c r="P125" s="3">
        <v>5.99</v>
      </c>
      <c r="Q125" s="3">
        <v>3.02</v>
      </c>
      <c r="R125" s="3">
        <f t="shared" si="1"/>
        <v>60</v>
      </c>
    </row>
    <row r="126" spans="1:18">
      <c r="B126" s="1">
        <v>124</v>
      </c>
      <c r="C126" s="3">
        <v>1.57</v>
      </c>
      <c r="D126" s="3">
        <v>7.73</v>
      </c>
      <c r="E126" s="3">
        <v>0.39</v>
      </c>
      <c r="F126" s="3">
        <v>1.61</v>
      </c>
      <c r="G126" s="3">
        <v>7.38</v>
      </c>
      <c r="H126" s="3">
        <v>4.34</v>
      </c>
      <c r="I126" s="3">
        <v>3.66</v>
      </c>
      <c r="J126" s="3">
        <v>4.03</v>
      </c>
      <c r="K126" s="3">
        <v>0.41</v>
      </c>
      <c r="L126" s="3">
        <v>2.66</v>
      </c>
      <c r="M126" s="3">
        <v>6.31</v>
      </c>
      <c r="N126" s="3">
        <v>7.89</v>
      </c>
      <c r="O126" s="3">
        <v>7.94</v>
      </c>
      <c r="P126" s="3">
        <v>1.92</v>
      </c>
      <c r="Q126" s="3">
        <v>2.16</v>
      </c>
      <c r="R126" s="3">
        <f t="shared" si="1"/>
        <v>60</v>
      </c>
    </row>
    <row r="127" spans="1:18">
      <c r="B127" s="1">
        <v>125</v>
      </c>
      <c r="C127" s="3">
        <v>2.74</v>
      </c>
      <c r="D127" s="3">
        <v>6.6</v>
      </c>
      <c r="E127" s="3">
        <v>7.18</v>
      </c>
      <c r="F127" s="3">
        <v>1.96</v>
      </c>
      <c r="G127" s="3">
        <v>0.38</v>
      </c>
      <c r="H127" s="3">
        <v>5.76</v>
      </c>
      <c r="I127" s="3">
        <v>1.71</v>
      </c>
      <c r="J127" s="3">
        <v>2.48</v>
      </c>
      <c r="K127" s="3">
        <v>0.46</v>
      </c>
      <c r="L127" s="3">
        <v>7.82</v>
      </c>
      <c r="M127" s="3">
        <v>6.35</v>
      </c>
      <c r="N127" s="3">
        <v>0.66</v>
      </c>
      <c r="O127" s="3">
        <v>4.02</v>
      </c>
      <c r="P127" s="3">
        <v>9.45</v>
      </c>
      <c r="Q127" s="3">
        <v>2.43</v>
      </c>
      <c r="R127" s="3">
        <f t="shared" si="1"/>
        <v>60</v>
      </c>
    </row>
    <row r="128" spans="1:18">
      <c r="B128" s="1">
        <v>126</v>
      </c>
      <c r="C128" s="3">
        <v>1.32</v>
      </c>
      <c r="D128" s="3">
        <v>3.61</v>
      </c>
      <c r="E128" s="3">
        <v>7.03</v>
      </c>
      <c r="F128" s="3">
        <v>7</v>
      </c>
      <c r="G128" s="3">
        <v>1.49</v>
      </c>
      <c r="H128" s="3">
        <v>4.52</v>
      </c>
      <c r="I128" s="3">
        <v>2.39</v>
      </c>
      <c r="J128" s="3">
        <v>7.45</v>
      </c>
      <c r="K128" s="3">
        <v>5.21</v>
      </c>
      <c r="L128" s="3">
        <v>3.56</v>
      </c>
      <c r="M128" s="3">
        <v>4.07</v>
      </c>
      <c r="N128" s="3">
        <v>3.85</v>
      </c>
      <c r="O128" s="3">
        <v>2.74</v>
      </c>
      <c r="P128" s="3">
        <v>1.93</v>
      </c>
      <c r="Q128" s="3">
        <v>3.83</v>
      </c>
      <c r="R128" s="3">
        <f t="shared" si="1"/>
        <v>60</v>
      </c>
    </row>
    <row r="129" spans="1:18">
      <c r="B129" s="1">
        <v>127</v>
      </c>
      <c r="C129" s="3">
        <v>4.3</v>
      </c>
      <c r="D129" s="3">
        <v>0.39</v>
      </c>
      <c r="E129" s="3">
        <v>4.4</v>
      </c>
      <c r="F129" s="3">
        <v>0.97</v>
      </c>
      <c r="G129" s="3">
        <v>5.85</v>
      </c>
      <c r="H129" s="3">
        <v>8.27</v>
      </c>
      <c r="I129" s="3">
        <v>7.76</v>
      </c>
      <c r="J129" s="3">
        <v>5.27</v>
      </c>
      <c r="K129" s="3">
        <v>1.8</v>
      </c>
      <c r="L129" s="3">
        <v>4.82</v>
      </c>
      <c r="M129" s="3">
        <v>6.23</v>
      </c>
      <c r="N129" s="3">
        <v>3.09</v>
      </c>
      <c r="O129" s="3">
        <v>1.35</v>
      </c>
      <c r="P129" s="3">
        <v>3.08</v>
      </c>
      <c r="Q129" s="3">
        <v>2.42</v>
      </c>
      <c r="R129" s="3">
        <f t="shared" si="1"/>
        <v>60</v>
      </c>
    </row>
    <row r="130" spans="1:18">
      <c r="B130" s="1">
        <v>128</v>
      </c>
      <c r="C130" s="3">
        <v>5.49</v>
      </c>
      <c r="D130" s="3">
        <v>1.94</v>
      </c>
      <c r="E130" s="3">
        <v>3.32</v>
      </c>
      <c r="F130" s="3">
        <v>4.34</v>
      </c>
      <c r="G130" s="3">
        <v>5.76</v>
      </c>
      <c r="H130" s="3">
        <v>0.52</v>
      </c>
      <c r="I130" s="3">
        <v>0.57</v>
      </c>
      <c r="J130" s="3">
        <v>5.68</v>
      </c>
      <c r="K130" s="3">
        <v>6.01</v>
      </c>
      <c r="L130" s="3">
        <v>3.5</v>
      </c>
      <c r="M130" s="3">
        <v>7.53</v>
      </c>
      <c r="N130" s="3">
        <v>5.54</v>
      </c>
      <c r="O130" s="3">
        <v>5.85</v>
      </c>
      <c r="P130" s="3">
        <v>2.77</v>
      </c>
      <c r="Q130" s="3">
        <v>1.18</v>
      </c>
      <c r="R130" s="3">
        <f t="shared" si="1"/>
        <v>60</v>
      </c>
    </row>
    <row r="131" spans="1:18">
      <c r="B131" s="1">
        <v>129</v>
      </c>
      <c r="C131" s="3">
        <v>3.39</v>
      </c>
      <c r="D131" s="3">
        <v>6.08</v>
      </c>
      <c r="E131" s="3">
        <v>7.73</v>
      </c>
      <c r="F131" s="3">
        <v>0.92</v>
      </c>
      <c r="G131" s="3">
        <v>1.36</v>
      </c>
      <c r="H131" s="3">
        <v>0.9</v>
      </c>
      <c r="I131" s="3">
        <v>2.13</v>
      </c>
      <c r="J131" s="3">
        <v>5.32</v>
      </c>
      <c r="K131" s="3">
        <v>1.96</v>
      </c>
      <c r="L131" s="3">
        <v>5.05</v>
      </c>
      <c r="M131" s="3">
        <v>8.93</v>
      </c>
      <c r="N131" s="3">
        <v>2.32</v>
      </c>
      <c r="O131" s="3">
        <v>0.81</v>
      </c>
      <c r="P131" s="3">
        <v>7.31</v>
      </c>
      <c r="Q131" s="3">
        <v>5.79</v>
      </c>
      <c r="R131" s="3">
        <f t="shared" ref="R131:R153" si="2">SUM(C131:Q131)</f>
        <v>60</v>
      </c>
    </row>
    <row r="132" spans="1:18">
      <c r="B132" s="1">
        <v>130</v>
      </c>
      <c r="C132" s="3">
        <v>2.91</v>
      </c>
      <c r="D132" s="3">
        <v>0.78</v>
      </c>
      <c r="E132" s="3">
        <v>1.48</v>
      </c>
      <c r="F132" s="3">
        <v>8.61</v>
      </c>
      <c r="G132" s="3">
        <v>4.1</v>
      </c>
      <c r="H132" s="3">
        <v>2.29</v>
      </c>
      <c r="I132" s="3">
        <v>2.18</v>
      </c>
      <c r="J132" s="3">
        <v>3.18</v>
      </c>
      <c r="K132" s="3">
        <v>6.27</v>
      </c>
      <c r="L132" s="3">
        <v>2.69</v>
      </c>
      <c r="M132" s="3">
        <v>1.14</v>
      </c>
      <c r="N132" s="3">
        <v>3.87</v>
      </c>
      <c r="O132" s="3">
        <v>1.36</v>
      </c>
      <c r="P132" s="3">
        <v>8.05</v>
      </c>
      <c r="Q132" s="3">
        <v>11.09</v>
      </c>
      <c r="R132" s="3">
        <f t="shared" si="2"/>
        <v>60</v>
      </c>
    </row>
    <row r="133" spans="1:18">
      <c r="A133" s="1" t="s">
        <v>17</v>
      </c>
      <c r="B133" s="1">
        <v>131</v>
      </c>
      <c r="C133" s="3">
        <v>7.47</v>
      </c>
      <c r="D133" s="3">
        <v>6.72</v>
      </c>
      <c r="E133" s="3">
        <v>0.41</v>
      </c>
      <c r="F133" s="3">
        <v>0.72</v>
      </c>
      <c r="G133" s="3">
        <v>7.86</v>
      </c>
      <c r="H133" s="3">
        <v>2.72</v>
      </c>
      <c r="I133" s="3">
        <v>5.32</v>
      </c>
      <c r="J133" s="3">
        <v>6.02</v>
      </c>
      <c r="K133" s="3">
        <v>1.56</v>
      </c>
      <c r="L133" s="3">
        <v>5.23</v>
      </c>
      <c r="M133" s="3">
        <v>1.9</v>
      </c>
      <c r="N133" s="3">
        <v>5.45</v>
      </c>
      <c r="O133" s="3">
        <v>2.41</v>
      </c>
      <c r="P133" s="3">
        <v>5.3</v>
      </c>
      <c r="Q133" s="3">
        <v>0.91</v>
      </c>
      <c r="R133" s="3">
        <f t="shared" si="2"/>
        <v>60</v>
      </c>
    </row>
    <row r="134" spans="1:18">
      <c r="B134" s="1">
        <v>132</v>
      </c>
      <c r="C134" s="3">
        <v>4.17</v>
      </c>
      <c r="D134" s="3">
        <v>7.94</v>
      </c>
      <c r="E134" s="3">
        <v>0.69</v>
      </c>
      <c r="F134" s="3">
        <v>6.98</v>
      </c>
      <c r="G134" s="3">
        <v>5.02</v>
      </c>
      <c r="H134" s="3">
        <v>5.55</v>
      </c>
      <c r="I134" s="3">
        <v>1.2</v>
      </c>
      <c r="J134" s="3">
        <v>2.1</v>
      </c>
      <c r="K134" s="3">
        <v>1.14</v>
      </c>
      <c r="L134" s="3">
        <v>1.69</v>
      </c>
      <c r="M134" s="3">
        <v>8.73</v>
      </c>
      <c r="N134" s="3">
        <v>4.47</v>
      </c>
      <c r="O134" s="3">
        <v>4.43</v>
      </c>
      <c r="P134" s="3">
        <v>3.27</v>
      </c>
      <c r="Q134" s="3">
        <v>2.62</v>
      </c>
      <c r="R134" s="3">
        <f t="shared" si="2"/>
        <v>60</v>
      </c>
    </row>
    <row r="135" spans="1:18">
      <c r="B135" s="1">
        <v>133</v>
      </c>
      <c r="C135" s="3">
        <v>5.58</v>
      </c>
      <c r="D135" s="3">
        <v>0.38</v>
      </c>
      <c r="E135" s="3">
        <v>7.66</v>
      </c>
      <c r="F135" s="3">
        <v>6.95</v>
      </c>
      <c r="G135" s="3">
        <v>0.35</v>
      </c>
      <c r="H135" s="3">
        <v>6.93</v>
      </c>
      <c r="I135" s="3">
        <v>3.17</v>
      </c>
      <c r="J135" s="3">
        <v>4.41</v>
      </c>
      <c r="K135" s="3">
        <v>3.77</v>
      </c>
      <c r="L135" s="3">
        <v>5.15</v>
      </c>
      <c r="M135" s="3">
        <v>5.76</v>
      </c>
      <c r="N135" s="3">
        <v>2.05</v>
      </c>
      <c r="O135" s="3">
        <v>3.53</v>
      </c>
      <c r="P135" s="3">
        <v>3.01</v>
      </c>
      <c r="Q135" s="3">
        <v>1.3</v>
      </c>
      <c r="R135" s="3">
        <f t="shared" si="2"/>
        <v>60</v>
      </c>
    </row>
    <row r="136" spans="1:18">
      <c r="B136" s="1">
        <v>134</v>
      </c>
      <c r="C136" s="3">
        <v>3.29</v>
      </c>
      <c r="D136" s="3">
        <v>7.19</v>
      </c>
      <c r="E136" s="3">
        <v>3.18</v>
      </c>
      <c r="F136" s="3">
        <v>0.64</v>
      </c>
      <c r="G136" s="3">
        <v>2.65</v>
      </c>
      <c r="H136" s="3">
        <v>1.9</v>
      </c>
      <c r="I136" s="3">
        <v>5.73</v>
      </c>
      <c r="J136" s="3">
        <v>8.08</v>
      </c>
      <c r="K136" s="3">
        <v>5.03</v>
      </c>
      <c r="L136" s="3">
        <v>1.15</v>
      </c>
      <c r="M136" s="3">
        <v>1.96</v>
      </c>
      <c r="N136" s="3">
        <v>0.96</v>
      </c>
      <c r="O136" s="3">
        <v>11.71</v>
      </c>
      <c r="P136" s="3">
        <v>1.48</v>
      </c>
      <c r="Q136" s="3">
        <v>5.05</v>
      </c>
      <c r="R136" s="3">
        <f t="shared" si="2"/>
        <v>60</v>
      </c>
    </row>
    <row r="137" spans="1:18">
      <c r="B137" s="1">
        <v>135</v>
      </c>
      <c r="C137" s="3">
        <v>1.28</v>
      </c>
      <c r="D137" s="3">
        <v>6.35</v>
      </c>
      <c r="E137" s="3">
        <v>2.04</v>
      </c>
      <c r="F137" s="3">
        <v>2.47</v>
      </c>
      <c r="G137" s="3">
        <v>4.41</v>
      </c>
      <c r="H137" s="3">
        <v>7.67</v>
      </c>
      <c r="I137" s="3">
        <v>3.16</v>
      </c>
      <c r="J137" s="3">
        <v>6.79</v>
      </c>
      <c r="K137" s="3">
        <v>5.85</v>
      </c>
      <c r="L137" s="3">
        <v>0.6</v>
      </c>
      <c r="M137" s="3">
        <v>0.38</v>
      </c>
      <c r="N137" s="3">
        <v>8.63</v>
      </c>
      <c r="O137" s="3">
        <v>3.17</v>
      </c>
      <c r="P137" s="3">
        <v>1.13</v>
      </c>
      <c r="Q137" s="3">
        <v>6.07</v>
      </c>
      <c r="R137" s="3">
        <f t="shared" si="2"/>
        <v>60</v>
      </c>
    </row>
    <row r="138" spans="1:18">
      <c r="B138" s="1">
        <v>136</v>
      </c>
      <c r="C138" s="3">
        <v>0.4</v>
      </c>
      <c r="D138" s="3">
        <v>7.97</v>
      </c>
      <c r="E138" s="3">
        <v>2.88</v>
      </c>
      <c r="F138" s="3">
        <v>1.58</v>
      </c>
      <c r="G138" s="3">
        <v>2.45</v>
      </c>
      <c r="H138" s="3">
        <v>0.68</v>
      </c>
      <c r="I138" s="3">
        <v>7.93</v>
      </c>
      <c r="J138" s="3">
        <v>8.31</v>
      </c>
      <c r="K138" s="3">
        <v>1.96</v>
      </c>
      <c r="L138" s="3">
        <v>2.08</v>
      </c>
      <c r="M138" s="3">
        <v>4.25</v>
      </c>
      <c r="N138" s="3">
        <v>6.71</v>
      </c>
      <c r="O138" s="3">
        <v>1.85</v>
      </c>
      <c r="P138" s="3">
        <v>5.48</v>
      </c>
      <c r="Q138" s="3">
        <v>5.47</v>
      </c>
      <c r="R138" s="3">
        <f t="shared" si="2"/>
        <v>60</v>
      </c>
    </row>
    <row r="139" spans="1:18">
      <c r="B139" s="1">
        <v>137</v>
      </c>
      <c r="C139" s="3">
        <v>5.7</v>
      </c>
      <c r="D139" s="3">
        <v>7</v>
      </c>
      <c r="E139" s="3">
        <v>4.07</v>
      </c>
      <c r="F139" s="3">
        <v>6.18</v>
      </c>
      <c r="G139" s="3">
        <v>1.26</v>
      </c>
      <c r="H139" s="3">
        <v>3.13</v>
      </c>
      <c r="I139" s="3">
        <v>2.53</v>
      </c>
      <c r="J139" s="3">
        <v>3.79</v>
      </c>
      <c r="K139" s="3">
        <v>0.74</v>
      </c>
      <c r="L139" s="3">
        <v>8.24</v>
      </c>
      <c r="M139" s="3">
        <v>2.41</v>
      </c>
      <c r="N139" s="3">
        <v>6.35</v>
      </c>
      <c r="O139" s="3">
        <v>4.7</v>
      </c>
      <c r="P139" s="3">
        <v>3.73</v>
      </c>
      <c r="Q139" s="3">
        <v>0.17</v>
      </c>
      <c r="R139" s="3">
        <f t="shared" si="2"/>
        <v>60</v>
      </c>
    </row>
    <row r="140" spans="1:18">
      <c r="B140" s="1">
        <v>138</v>
      </c>
      <c r="C140" s="3">
        <v>6.55</v>
      </c>
      <c r="D140" s="3">
        <v>4.27</v>
      </c>
      <c r="E140" s="3">
        <v>6.55</v>
      </c>
      <c r="F140" s="3">
        <v>2.95</v>
      </c>
      <c r="G140" s="3">
        <v>0.85</v>
      </c>
      <c r="H140" s="3">
        <v>6.07</v>
      </c>
      <c r="I140" s="3">
        <v>3.3</v>
      </c>
      <c r="J140" s="3">
        <v>7.15</v>
      </c>
      <c r="K140" s="3">
        <v>4.69</v>
      </c>
      <c r="L140" s="3">
        <v>0.29</v>
      </c>
      <c r="M140" s="3">
        <v>6.84</v>
      </c>
      <c r="N140" s="3">
        <v>5.05</v>
      </c>
      <c r="O140" s="3">
        <v>1.66</v>
      </c>
      <c r="P140" s="3">
        <v>2.02</v>
      </c>
      <c r="Q140" s="3">
        <v>1.76</v>
      </c>
      <c r="R140" s="3">
        <f t="shared" si="2"/>
        <v>60</v>
      </c>
    </row>
    <row r="141" spans="1:18">
      <c r="B141" s="1">
        <v>139</v>
      </c>
      <c r="C141" s="3">
        <v>7.77</v>
      </c>
      <c r="D141" s="3">
        <v>0.55</v>
      </c>
      <c r="E141" s="3">
        <v>2.98</v>
      </c>
      <c r="F141" s="3">
        <v>4.86</v>
      </c>
      <c r="G141" s="3">
        <v>5.36</v>
      </c>
      <c r="H141" s="3">
        <v>0.87</v>
      </c>
      <c r="I141" s="3">
        <v>0.49</v>
      </c>
      <c r="J141" s="3">
        <v>5.38</v>
      </c>
      <c r="K141" s="3">
        <v>6.48</v>
      </c>
      <c r="L141" s="3">
        <v>4.92</v>
      </c>
      <c r="M141" s="3">
        <v>7.72</v>
      </c>
      <c r="N141" s="3">
        <v>2.89</v>
      </c>
      <c r="O141" s="3">
        <v>2.7</v>
      </c>
      <c r="P141" s="3">
        <v>0.56</v>
      </c>
      <c r="Q141" s="3">
        <v>6.47</v>
      </c>
      <c r="R141" s="3">
        <f t="shared" si="2"/>
        <v>60</v>
      </c>
    </row>
    <row r="142" spans="1:18">
      <c r="B142" s="1">
        <v>140</v>
      </c>
      <c r="C142" s="3">
        <v>6.61</v>
      </c>
      <c r="D142" s="3">
        <v>5.14</v>
      </c>
      <c r="E142" s="3">
        <v>0.37</v>
      </c>
      <c r="F142" s="3">
        <v>7.37</v>
      </c>
      <c r="G142" s="3">
        <v>3.19</v>
      </c>
      <c r="H142" s="3">
        <v>1.57</v>
      </c>
      <c r="I142" s="3">
        <v>1.11</v>
      </c>
      <c r="J142" s="3">
        <v>6.17</v>
      </c>
      <c r="K142" s="3">
        <v>4.71</v>
      </c>
      <c r="L142" s="3">
        <v>1.79</v>
      </c>
      <c r="M142" s="3">
        <v>8.57</v>
      </c>
      <c r="N142" s="3">
        <v>4.1</v>
      </c>
      <c r="O142" s="3">
        <v>3.1</v>
      </c>
      <c r="P142" s="3">
        <v>5.55</v>
      </c>
      <c r="Q142" s="3">
        <v>0.65</v>
      </c>
      <c r="R142" s="3">
        <f t="shared" si="2"/>
        <v>60</v>
      </c>
    </row>
    <row r="143" spans="1:18">
      <c r="A143" s="1" t="s">
        <v>18</v>
      </c>
      <c r="B143" s="1">
        <v>141</v>
      </c>
      <c r="C143" s="3">
        <v>2.06</v>
      </c>
      <c r="D143" s="3">
        <v>4.83</v>
      </c>
      <c r="E143" s="3">
        <v>6.01</v>
      </c>
      <c r="F143" s="3">
        <v>3.42</v>
      </c>
      <c r="G143" s="3">
        <v>2.88</v>
      </c>
      <c r="H143" s="3">
        <v>3.98</v>
      </c>
      <c r="I143" s="3">
        <v>7.18</v>
      </c>
      <c r="J143" s="3">
        <v>0.37</v>
      </c>
      <c r="K143" s="3">
        <v>1.2</v>
      </c>
      <c r="L143" s="3">
        <v>7.88</v>
      </c>
      <c r="M143" s="3">
        <v>3.76</v>
      </c>
      <c r="N143" s="3">
        <v>2.71</v>
      </c>
      <c r="O143" s="3">
        <v>7.43</v>
      </c>
      <c r="P143" s="3">
        <v>5.5</v>
      </c>
      <c r="Q143" s="3">
        <v>0.79</v>
      </c>
      <c r="R143" s="3">
        <f t="shared" si="2"/>
        <v>60</v>
      </c>
    </row>
    <row r="144" spans="1:18">
      <c r="B144" s="1">
        <v>142</v>
      </c>
      <c r="C144" s="3">
        <v>4.96</v>
      </c>
      <c r="D144" s="1">
        <v>6.8</v>
      </c>
      <c r="E144" s="3">
        <v>1.5</v>
      </c>
      <c r="F144" s="3">
        <v>0.73</v>
      </c>
      <c r="G144" s="3">
        <v>2.24</v>
      </c>
      <c r="H144" s="3">
        <v>1.46</v>
      </c>
      <c r="I144" s="3">
        <v>2.63</v>
      </c>
      <c r="J144" s="3">
        <v>2.75</v>
      </c>
      <c r="K144" s="3">
        <v>1.39</v>
      </c>
      <c r="L144" s="3">
        <v>7.99</v>
      </c>
      <c r="M144" s="3">
        <v>1.31</v>
      </c>
      <c r="N144" s="3">
        <v>11.32</v>
      </c>
      <c r="O144" s="3">
        <v>2.96</v>
      </c>
      <c r="P144" s="3">
        <v>7.1</v>
      </c>
      <c r="Q144" s="3">
        <v>4.86</v>
      </c>
      <c r="R144" s="3">
        <f t="shared" si="2"/>
        <v>60</v>
      </c>
    </row>
    <row r="145" spans="1:27">
      <c r="B145" s="1">
        <v>143</v>
      </c>
      <c r="C145" s="3">
        <v>0.69</v>
      </c>
      <c r="D145" s="3">
        <v>4.91</v>
      </c>
      <c r="E145" s="3">
        <v>2.49</v>
      </c>
      <c r="F145" s="3">
        <v>5.09</v>
      </c>
      <c r="G145" s="3">
        <v>4.26</v>
      </c>
      <c r="H145" s="3">
        <v>4.21</v>
      </c>
      <c r="I145" s="3">
        <v>3.68</v>
      </c>
      <c r="J145" s="3">
        <v>2.74</v>
      </c>
      <c r="K145" s="3">
        <v>2.6</v>
      </c>
      <c r="L145" s="3">
        <v>2.42</v>
      </c>
      <c r="M145" s="3">
        <v>6.28</v>
      </c>
      <c r="N145" s="3">
        <v>5.32</v>
      </c>
      <c r="O145" s="3">
        <v>2.39</v>
      </c>
      <c r="P145" s="3">
        <v>9.63</v>
      </c>
      <c r="Q145" s="3">
        <v>3.29</v>
      </c>
      <c r="R145" s="3">
        <f t="shared" si="2"/>
        <v>60</v>
      </c>
    </row>
    <row r="146" spans="1:27">
      <c r="B146" s="1">
        <v>144</v>
      </c>
      <c r="C146" s="3">
        <v>0.4</v>
      </c>
      <c r="D146" s="3">
        <v>3.58</v>
      </c>
      <c r="E146" s="3">
        <v>2.4</v>
      </c>
      <c r="F146" s="3">
        <v>8.49</v>
      </c>
      <c r="G146" s="3">
        <v>2.96</v>
      </c>
      <c r="H146" s="3">
        <v>4.25</v>
      </c>
      <c r="I146" s="3">
        <v>2.77</v>
      </c>
      <c r="J146" s="3">
        <v>4.9</v>
      </c>
      <c r="K146" s="3">
        <v>8.15</v>
      </c>
      <c r="L146" s="3">
        <v>0.43</v>
      </c>
      <c r="M146" s="3">
        <v>0.46</v>
      </c>
      <c r="N146" s="3">
        <v>5.22</v>
      </c>
      <c r="O146" s="3">
        <v>5.04</v>
      </c>
      <c r="P146" s="3">
        <v>0.54</v>
      </c>
      <c r="Q146" s="3">
        <v>10.41</v>
      </c>
      <c r="R146" s="3">
        <f t="shared" si="2"/>
        <v>60</v>
      </c>
    </row>
    <row r="147" spans="1:27">
      <c r="B147" s="1">
        <v>145</v>
      </c>
      <c r="C147" s="3">
        <v>4.05</v>
      </c>
      <c r="D147" s="3">
        <v>3</v>
      </c>
      <c r="E147" s="3">
        <v>7.5</v>
      </c>
      <c r="F147" s="3">
        <v>6.99</v>
      </c>
      <c r="G147" s="3">
        <v>1.9</v>
      </c>
      <c r="H147" s="3">
        <v>4.74</v>
      </c>
      <c r="I147" s="3">
        <v>4.61</v>
      </c>
      <c r="J147" s="3">
        <v>4.9</v>
      </c>
      <c r="K147" s="3">
        <v>4.27</v>
      </c>
      <c r="L147" s="3">
        <v>5.07</v>
      </c>
      <c r="M147" s="3">
        <v>3.95</v>
      </c>
      <c r="N147" s="3">
        <v>4.01</v>
      </c>
      <c r="O147" s="3">
        <v>3.18</v>
      </c>
      <c r="P147" s="3">
        <v>1.05</v>
      </c>
      <c r="Q147" s="3">
        <v>0.78</v>
      </c>
      <c r="R147" s="3">
        <f t="shared" si="2"/>
        <v>60</v>
      </c>
    </row>
    <row r="148" spans="1:27">
      <c r="B148" s="1">
        <v>146</v>
      </c>
      <c r="C148" s="3">
        <v>0.54</v>
      </c>
      <c r="D148" s="3">
        <v>5.81</v>
      </c>
      <c r="E148" s="3">
        <v>6.92</v>
      </c>
      <c r="F148" s="3">
        <v>1.95</v>
      </c>
      <c r="G148" s="3">
        <v>7.72</v>
      </c>
      <c r="H148" s="3">
        <v>3.95</v>
      </c>
      <c r="I148" s="3">
        <v>0.96</v>
      </c>
      <c r="J148" s="3">
        <v>2.72</v>
      </c>
      <c r="K148" s="3">
        <v>1.65</v>
      </c>
      <c r="L148" s="3">
        <v>9.04</v>
      </c>
      <c r="M148" s="3">
        <v>2.04</v>
      </c>
      <c r="N148" s="3">
        <v>0.72</v>
      </c>
      <c r="O148" s="3">
        <v>7.91</v>
      </c>
      <c r="P148" s="3">
        <v>7.24</v>
      </c>
      <c r="Q148" s="3">
        <v>0.83</v>
      </c>
      <c r="R148" s="3">
        <f t="shared" si="2"/>
        <v>60</v>
      </c>
    </row>
    <row r="149" spans="1:27">
      <c r="B149" s="1">
        <v>147</v>
      </c>
      <c r="C149" s="3">
        <v>0.45</v>
      </c>
      <c r="D149" s="3">
        <v>5</v>
      </c>
      <c r="E149" s="3">
        <v>0.54</v>
      </c>
      <c r="F149" s="3">
        <v>4.81</v>
      </c>
      <c r="G149" s="3">
        <v>0.44</v>
      </c>
      <c r="H149" s="3">
        <v>4.9</v>
      </c>
      <c r="I149" s="3">
        <v>1.83</v>
      </c>
      <c r="J149" s="3">
        <v>2.59</v>
      </c>
      <c r="K149" s="3">
        <v>8.26</v>
      </c>
      <c r="L149" s="3">
        <v>2.43</v>
      </c>
      <c r="M149" s="3">
        <v>9.23</v>
      </c>
      <c r="N149" s="3">
        <v>5.68</v>
      </c>
      <c r="O149" s="3">
        <v>1.83</v>
      </c>
      <c r="P149" s="3">
        <v>3.93</v>
      </c>
      <c r="Q149" s="3">
        <v>8.08</v>
      </c>
      <c r="R149" s="3">
        <f t="shared" si="2"/>
        <v>60</v>
      </c>
    </row>
    <row r="150" spans="1:27">
      <c r="B150" s="1">
        <v>148</v>
      </c>
      <c r="C150" s="3">
        <v>7.8</v>
      </c>
      <c r="D150" s="3">
        <v>5.26</v>
      </c>
      <c r="E150" s="3">
        <v>0.36</v>
      </c>
      <c r="F150" s="3">
        <v>6.05</v>
      </c>
      <c r="G150" s="3">
        <v>0.36</v>
      </c>
      <c r="H150" s="3">
        <v>6.72</v>
      </c>
      <c r="I150" s="3">
        <v>0.58</v>
      </c>
      <c r="J150" s="3">
        <v>6.39</v>
      </c>
      <c r="K150" s="3">
        <v>5.53</v>
      </c>
      <c r="L150" s="3">
        <v>5.77</v>
      </c>
      <c r="M150" s="3">
        <v>3.98</v>
      </c>
      <c r="N150" s="3">
        <v>5.17</v>
      </c>
      <c r="O150" s="3">
        <v>2.67</v>
      </c>
      <c r="P150" s="3">
        <v>2.24</v>
      </c>
      <c r="Q150" s="3">
        <v>1.12</v>
      </c>
      <c r="R150" s="3">
        <f t="shared" si="2"/>
        <v>60</v>
      </c>
    </row>
    <row r="151" spans="1:27">
      <c r="B151" s="1">
        <v>149</v>
      </c>
      <c r="C151" s="3">
        <v>2.87</v>
      </c>
      <c r="D151" s="3">
        <v>8.13</v>
      </c>
      <c r="E151" s="3">
        <v>1.39</v>
      </c>
      <c r="F151" s="3">
        <v>0.86</v>
      </c>
      <c r="G151" s="3">
        <v>7.91</v>
      </c>
      <c r="H151" s="3">
        <v>1.28</v>
      </c>
      <c r="I151" s="3">
        <v>7.17</v>
      </c>
      <c r="J151" s="3">
        <v>6.48</v>
      </c>
      <c r="K151" s="3">
        <v>0.86</v>
      </c>
      <c r="L151" s="3">
        <v>3.5</v>
      </c>
      <c r="M151" s="3">
        <v>5.17</v>
      </c>
      <c r="N151" s="3">
        <v>6.2</v>
      </c>
      <c r="O151" s="3">
        <v>0.69</v>
      </c>
      <c r="P151" s="3">
        <v>1.59</v>
      </c>
      <c r="Q151" s="3">
        <v>5.9</v>
      </c>
      <c r="R151" s="3">
        <f t="shared" si="2"/>
        <v>60</v>
      </c>
    </row>
    <row r="152" spans="1:27">
      <c r="B152" s="1">
        <v>150</v>
      </c>
      <c r="C152" s="3">
        <v>7.84</v>
      </c>
      <c r="D152" s="3">
        <v>0.84</v>
      </c>
      <c r="E152" s="3">
        <v>4.41</v>
      </c>
      <c r="F152" s="3">
        <v>6.8</v>
      </c>
      <c r="G152" s="3">
        <v>6.77</v>
      </c>
      <c r="H152" s="3">
        <v>5.29</v>
      </c>
      <c r="I152" s="3">
        <v>1.46</v>
      </c>
      <c r="J152" s="3">
        <v>5.69</v>
      </c>
      <c r="K152" s="3">
        <v>4.03</v>
      </c>
      <c r="L152" s="3">
        <v>4.9</v>
      </c>
      <c r="M152" s="3">
        <v>3.13</v>
      </c>
      <c r="N152" s="3">
        <v>0.69</v>
      </c>
      <c r="O152" s="3">
        <v>1.91</v>
      </c>
      <c r="P152" s="3">
        <v>3.13</v>
      </c>
      <c r="Q152" s="3">
        <v>3.11</v>
      </c>
      <c r="R152" s="3">
        <f t="shared" si="2"/>
        <v>60</v>
      </c>
      <c r="S152" s="1" t="s">
        <v>19</v>
      </c>
    </row>
    <row r="153" s="4" customFormat="1" spans="1:27">
      <c r="A153" s="3" t="s">
        <v>3</v>
      </c>
      <c r="C153" s="3">
        <f t="shared" ref="C153:Q153" si="3">SUM(C3:C152)</f>
        <v>612.97</v>
      </c>
      <c r="D153" s="3">
        <f t="shared" si="3"/>
        <v>661.55</v>
      </c>
      <c r="E153" s="3">
        <f t="shared" si="3"/>
        <v>561.73</v>
      </c>
      <c r="F153" s="3">
        <f t="shared" si="3"/>
        <v>612.88</v>
      </c>
      <c r="G153" s="3">
        <f t="shared" si="3"/>
        <v>605.54</v>
      </c>
      <c r="H153" s="3">
        <f t="shared" si="3"/>
        <v>624.36</v>
      </c>
      <c r="I153" s="3">
        <f t="shared" si="3"/>
        <v>557.02</v>
      </c>
      <c r="J153" s="3">
        <f t="shared" si="3"/>
        <v>582.93</v>
      </c>
      <c r="K153" s="3">
        <f t="shared" si="3"/>
        <v>598.73</v>
      </c>
      <c r="L153" s="3">
        <f t="shared" si="3"/>
        <v>592.72</v>
      </c>
      <c r="M153" s="3">
        <f t="shared" si="3"/>
        <v>603.68</v>
      </c>
      <c r="N153" s="3">
        <f t="shared" si="3"/>
        <v>600.56</v>
      </c>
      <c r="O153" s="3">
        <f t="shared" si="3"/>
        <v>586.16</v>
      </c>
      <c r="P153" s="3">
        <f t="shared" si="3"/>
        <v>614.73</v>
      </c>
      <c r="Q153" s="3">
        <f t="shared" si="3"/>
        <v>584.44</v>
      </c>
      <c r="R153" s="3">
        <f t="shared" si="2"/>
        <v>9000</v>
      </c>
      <c r="S153" s="3">
        <f>VAR(C153:Q153)</f>
        <v>647.784042857149</v>
      </c>
      <c r="T153" s="3"/>
      <c r="U153" s="3"/>
      <c r="V153" s="3"/>
      <c r="W153" s="3"/>
      <c r="X153" s="3"/>
      <c r="Y153" s="3"/>
      <c r="Z153" s="3"/>
      <c r="AA153" s="3"/>
    </row>
    <row r="154" spans="1:27">
      <c r="A154" s="5" t="s">
        <v>20</v>
      </c>
      <c r="B154" s="5"/>
      <c r="C154" s="6">
        <f>C153/150</f>
        <v>4.08646666666667</v>
      </c>
      <c r="D154" s="6">
        <f>D153/150</f>
        <v>4.41033333333334</v>
      </c>
      <c r="E154" s="6">
        <f>E153/150</f>
        <v>3.74486666666667</v>
      </c>
      <c r="F154" s="6">
        <f>F153/150</f>
        <v>4.08586666666667</v>
      </c>
      <c r="G154" s="6">
        <f t="shared" ref="G154:R154" si="4">G153/150</f>
        <v>4.03693333333333</v>
      </c>
      <c r="H154" s="6">
        <f t="shared" si="4"/>
        <v>4.1624</v>
      </c>
      <c r="I154" s="6">
        <f t="shared" si="4"/>
        <v>3.71346666666666</v>
      </c>
      <c r="J154" s="6">
        <f t="shared" si="4"/>
        <v>3.8862</v>
      </c>
      <c r="K154" s="6">
        <f t="shared" si="4"/>
        <v>3.99153333333333</v>
      </c>
      <c r="L154" s="6">
        <f t="shared" si="4"/>
        <v>3.95146666666667</v>
      </c>
      <c r="M154" s="6">
        <f t="shared" si="4"/>
        <v>4.02453333333333</v>
      </c>
      <c r="N154" s="6">
        <f t="shared" si="4"/>
        <v>4.00373333333334</v>
      </c>
      <c r="O154" s="6">
        <f t="shared" si="4"/>
        <v>3.90773333333333</v>
      </c>
      <c r="P154" s="6">
        <f t="shared" si="4"/>
        <v>4.0982</v>
      </c>
      <c r="Q154" s="6">
        <f t="shared" si="4"/>
        <v>3.89626666666667</v>
      </c>
      <c r="R154" s="6">
        <f t="shared" si="4"/>
        <v>60</v>
      </c>
      <c r="S154" s="3">
        <f>VAR(C154:Q154)</f>
        <v>0.0287904019047622</v>
      </c>
      <c r="T154" s="6"/>
    </row>
    <row r="155" spans="1:27">
      <c r="A155" s="5" t="s">
        <v>21</v>
      </c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7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7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7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7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1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</sheetData>
  <mergeCells count="19">
    <mergeCell ref="A1:F1"/>
    <mergeCell ref="A153:B153"/>
    <mergeCell ref="A154:B154"/>
    <mergeCell ref="A155:B155"/>
    <mergeCell ref="A3:A12"/>
    <mergeCell ref="A13:A22"/>
    <mergeCell ref="A23:A35"/>
    <mergeCell ref="A36:A42"/>
    <mergeCell ref="A43:A52"/>
    <mergeCell ref="A53:A62"/>
    <mergeCell ref="A63:A72"/>
    <mergeCell ref="A73:A82"/>
    <mergeCell ref="A83:A92"/>
    <mergeCell ref="A93:A102"/>
    <mergeCell ref="A103:A112"/>
    <mergeCell ref="A113:A122"/>
    <mergeCell ref="A123:A132"/>
    <mergeCell ref="A133:A142"/>
    <mergeCell ref="A143:A1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金额返还统计"/>
  <dimension ref="A1:J152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14" defaultRowHeight="18" customHeight="1"/>
  <cols>
    <col min="1" max="1" width="13.6727272727273" style="1"/>
    <col min="2" max="3" width="17.1363636363636" style="1" customWidth="1"/>
    <col min="4" max="4" width="22.2545454545455" style="1" customWidth="1"/>
    <col min="5" max="26" width="13.6727272727273" style="1"/>
  </cols>
  <sheetData>
    <row r="1" ht="81" customHeight="1" spans="1:8">
      <c r="A1" s="2" t="s">
        <v>22</v>
      </c>
    </row>
    <row r="2" ht="13" spans="1:8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</row>
    <row r="3" ht="13" spans="1:8">
      <c r="A3" s="1" t="s">
        <v>4</v>
      </c>
      <c r="B3" s="3">
        <v>611.28</v>
      </c>
      <c r="C3" s="3">
        <v>600</v>
      </c>
      <c r="D3" s="1">
        <v>-11.28</v>
      </c>
      <c r="E3" s="1">
        <f t="shared" ref="E3:E17" si="0">D3+1.56</f>
        <v>-9.72</v>
      </c>
      <c r="F3" s="1">
        <v>1</v>
      </c>
    </row>
    <row r="4" ht="13" spans="1:8">
      <c r="A4" s="1" t="s">
        <v>5</v>
      </c>
      <c r="B4" s="3">
        <v>614.84</v>
      </c>
      <c r="C4" s="3">
        <v>600</v>
      </c>
      <c r="D4" s="1">
        <v>-14.84</v>
      </c>
      <c r="E4" s="1">
        <f t="shared" si="0"/>
        <v>-13.28</v>
      </c>
      <c r="F4" s="1">
        <v>1</v>
      </c>
    </row>
    <row r="5" ht="13" spans="1:8">
      <c r="A5" s="1" t="s">
        <v>6</v>
      </c>
      <c r="B5" s="3">
        <v>599.24</v>
      </c>
      <c r="C5" s="3">
        <v>780</v>
      </c>
      <c r="D5" s="1">
        <v>180.76</v>
      </c>
      <c r="E5" s="1">
        <f t="shared" si="0"/>
        <v>182.32</v>
      </c>
      <c r="F5" s="1">
        <v>1</v>
      </c>
      <c r="H5" s="1" t="s">
        <v>29</v>
      </c>
    </row>
    <row r="6" ht="13" spans="1:8">
      <c r="A6" s="1" t="s">
        <v>7</v>
      </c>
      <c r="B6" s="3">
        <v>561.91</v>
      </c>
      <c r="C6" s="3">
        <v>420</v>
      </c>
      <c r="D6" s="1">
        <v>-141.91</v>
      </c>
      <c r="E6" s="1">
        <f t="shared" si="0"/>
        <v>-140.35</v>
      </c>
      <c r="F6" s="1">
        <v>1</v>
      </c>
    </row>
    <row r="7" ht="13" spans="1:8">
      <c r="A7" s="1" t="s">
        <v>8</v>
      </c>
      <c r="B7" s="3">
        <v>648.05</v>
      </c>
      <c r="C7" s="3">
        <v>600</v>
      </c>
      <c r="D7" s="1">
        <v>-48.05</v>
      </c>
      <c r="E7" s="1">
        <f t="shared" si="0"/>
        <v>-46.49</v>
      </c>
      <c r="F7" s="1">
        <v>1</v>
      </c>
    </row>
    <row r="8" ht="13" spans="1:8">
      <c r="A8" s="1" t="s">
        <v>9</v>
      </c>
      <c r="B8" s="3">
        <v>635.13</v>
      </c>
      <c r="C8" s="3">
        <v>600</v>
      </c>
      <c r="D8" s="1">
        <v>-35.13</v>
      </c>
      <c r="E8" s="1">
        <f t="shared" si="0"/>
        <v>-33.57</v>
      </c>
      <c r="F8" s="1">
        <v>1</v>
      </c>
    </row>
    <row r="9" ht="13" spans="1:8">
      <c r="A9" s="1" t="s">
        <v>10</v>
      </c>
      <c r="B9" s="3">
        <v>614.33</v>
      </c>
      <c r="C9" s="3">
        <v>600</v>
      </c>
      <c r="D9" s="1">
        <v>-14.33</v>
      </c>
      <c r="E9" s="1">
        <f t="shared" si="0"/>
        <v>-12.77</v>
      </c>
    </row>
    <row r="10" ht="13" spans="1:8">
      <c r="A10" s="1" t="s">
        <v>11</v>
      </c>
      <c r="B10" s="3">
        <v>570.27</v>
      </c>
      <c r="C10" s="3">
        <v>600</v>
      </c>
      <c r="D10" s="1">
        <v>29.73</v>
      </c>
      <c r="E10" s="1">
        <f t="shared" si="0"/>
        <v>31.29</v>
      </c>
      <c r="F10" s="1">
        <v>1</v>
      </c>
    </row>
    <row r="11" ht="13" spans="1:8">
      <c r="A11" s="1" t="s">
        <v>12</v>
      </c>
      <c r="B11" s="3">
        <v>566.02</v>
      </c>
      <c r="C11" s="3">
        <v>600</v>
      </c>
      <c r="D11" s="1">
        <v>33.98</v>
      </c>
      <c r="E11" s="1">
        <f t="shared" si="0"/>
        <v>35.54</v>
      </c>
      <c r="F11" s="1">
        <v>1</v>
      </c>
    </row>
    <row r="12" ht="13" spans="1:8">
      <c r="A12" s="1" t="s">
        <v>13</v>
      </c>
      <c r="B12" s="3">
        <v>580.49</v>
      </c>
      <c r="C12" s="3">
        <v>600</v>
      </c>
      <c r="D12" s="1">
        <v>19.51</v>
      </c>
      <c r="E12" s="1">
        <f t="shared" si="0"/>
        <v>21.07</v>
      </c>
      <c r="F12" s="1">
        <v>1</v>
      </c>
    </row>
    <row r="13" ht="13" spans="1:8">
      <c r="A13" s="1" t="s">
        <v>14</v>
      </c>
      <c r="B13" s="3">
        <v>589.58</v>
      </c>
      <c r="C13" s="3">
        <v>600</v>
      </c>
      <c r="D13" s="1">
        <v>10.42</v>
      </c>
      <c r="E13" s="1">
        <f t="shared" si="0"/>
        <v>11.98</v>
      </c>
      <c r="F13" s="1">
        <v>1</v>
      </c>
    </row>
    <row r="14" ht="13" spans="1:8">
      <c r="A14" s="1" t="s">
        <v>15</v>
      </c>
      <c r="B14" s="3">
        <f>563.95+6.37</f>
        <v>570.32</v>
      </c>
      <c r="C14" s="3">
        <v>600</v>
      </c>
      <c r="D14" s="1">
        <v>29.68</v>
      </c>
      <c r="E14" s="1">
        <f t="shared" si="0"/>
        <v>31.24</v>
      </c>
      <c r="F14" s="1">
        <v>1</v>
      </c>
      <c r="H14" s="1" t="s">
        <v>30</v>
      </c>
    </row>
    <row r="15" ht="13" spans="1:8">
      <c r="A15" s="1" t="s">
        <v>16</v>
      </c>
      <c r="B15" s="3">
        <v>617.29</v>
      </c>
      <c r="C15" s="3">
        <v>600</v>
      </c>
      <c r="D15" s="1">
        <v>-17.29</v>
      </c>
      <c r="E15" s="1">
        <f t="shared" si="0"/>
        <v>-15.73</v>
      </c>
    </row>
    <row r="16" ht="13" spans="1:8">
      <c r="A16" s="1" t="s">
        <v>17</v>
      </c>
      <c r="B16" s="3">
        <v>618.56</v>
      </c>
      <c r="C16" s="3">
        <v>600</v>
      </c>
      <c r="D16" s="1">
        <v>-18.56</v>
      </c>
      <c r="E16" s="1">
        <f t="shared" si="0"/>
        <v>-17</v>
      </c>
    </row>
    <row r="17" ht="13" spans="1:8">
      <c r="A17" s="1" t="s">
        <v>18</v>
      </c>
      <c r="B17" s="3">
        <f>586.97+39.17</f>
        <v>626.14</v>
      </c>
      <c r="C17" s="3">
        <f>600</f>
        <v>600</v>
      </c>
      <c r="D17" s="1">
        <v>-26.14</v>
      </c>
      <c r="E17" s="1">
        <f t="shared" si="0"/>
        <v>-24.58</v>
      </c>
      <c r="F17" s="1">
        <v>1</v>
      </c>
      <c r="H17" s="1" t="s">
        <v>31</v>
      </c>
    </row>
    <row r="18" ht="13" spans="1:8">
      <c r="A18" s="1" t="s">
        <v>3</v>
      </c>
      <c r="B18" s="3">
        <f>SUM(B3:B17)</f>
        <v>9023.45</v>
      </c>
      <c r="C18" s="3">
        <f>SUM(C3:C17)</f>
        <v>9000</v>
      </c>
      <c r="D18" s="1">
        <f>SUM(D3:D17)</f>
        <v>-23.45</v>
      </c>
      <c r="E18" s="1">
        <f>SUM(E3:E17)</f>
        <v>-0.0500000000000007</v>
      </c>
    </row>
    <row r="19" ht="13"/>
    <row r="20" ht="13" spans="1:8">
      <c r="C20" s="1">
        <f>B18-C18</f>
        <v>23.4499999999989</v>
      </c>
    </row>
    <row r="21" ht="13"/>
    <row r="22" ht="13"/>
    <row r="24" ht="13"/>
    <row r="25" ht="13"/>
    <row r="26" ht="13"/>
    <row r="27" ht="13"/>
    <row r="28" ht="13"/>
    <row r="29" ht="13"/>
    <row r="30" ht="13"/>
    <row r="31" ht="13"/>
    <row r="32" ht="13"/>
    <row r="33" ht="13"/>
    <row r="34" ht="13"/>
    <row r="35" ht="13"/>
    <row r="37" ht="13"/>
    <row r="38" ht="13"/>
    <row r="39" ht="13"/>
    <row r="40" ht="13"/>
    <row r="41" ht="13"/>
    <row r="42" ht="13"/>
    <row r="44" ht="13"/>
    <row r="45" ht="13"/>
    <row r="46" ht="13"/>
    <row r="47" ht="13"/>
    <row r="48" ht="13"/>
    <row r="49" ht="13"/>
    <row r="50" ht="13"/>
    <row r="51" ht="13"/>
    <row r="52" ht="13"/>
    <row r="54" ht="13"/>
    <row r="55" ht="13"/>
    <row r="56" ht="13"/>
    <row r="57" ht="13"/>
    <row r="58" ht="13"/>
    <row r="59" ht="13"/>
    <row r="60" ht="13"/>
    <row r="61" ht="13"/>
    <row r="62" ht="13"/>
    <row r="64" ht="13"/>
    <row r="65" ht="13"/>
    <row r="66" ht="13"/>
    <row r="67" ht="13"/>
    <row r="68" ht="13"/>
    <row r="69" ht="13"/>
    <row r="70" ht="13"/>
    <row r="71" ht="13"/>
    <row r="72" ht="13"/>
    <row r="74" ht="13"/>
    <row r="75" ht="13"/>
    <row r="76" ht="13"/>
    <row r="77" ht="13"/>
    <row r="78" ht="13"/>
    <row r="79" ht="13"/>
    <row r="80" ht="13"/>
    <row r="81" ht="13"/>
    <row r="82" ht="13"/>
    <row r="90" ht="13"/>
    <row r="91" ht="13"/>
    <row r="92" ht="13"/>
    <row r="94" ht="13"/>
    <row r="95" ht="13"/>
    <row r="96" ht="13"/>
    <row r="97" ht="13"/>
    <row r="98" ht="13"/>
    <row r="99" ht="13"/>
    <row r="100" ht="13"/>
    <row r="101" ht="13"/>
    <row r="102" ht="13"/>
    <row r="104" ht="13"/>
    <row r="105" ht="13"/>
    <row r="106" ht="13"/>
    <row r="107" ht="13"/>
    <row r="108" ht="13"/>
    <row r="109" ht="13"/>
    <row r="110" ht="13"/>
    <row r="111" ht="13"/>
    <row r="112" ht="13"/>
    <row r="114" ht="13"/>
    <row r="115" ht="13"/>
    <row r="116" ht="13"/>
    <row r="117" ht="13"/>
    <row r="118" ht="13"/>
    <row r="119" ht="13"/>
    <row r="120" ht="13"/>
    <row r="121" ht="13"/>
    <row r="122" ht="13"/>
    <row r="126" ht="13"/>
    <row r="127" ht="13"/>
    <row r="128" ht="13"/>
    <row r="129" ht="13"/>
    <row r="130" ht="13"/>
    <row r="131" ht="13"/>
    <row r="132" ht="13"/>
    <row r="134" ht="13"/>
    <row r="135" ht="13"/>
    <row r="136" ht="13"/>
    <row r="137" ht="13"/>
    <row r="138" ht="13"/>
    <row r="139" ht="13"/>
    <row r="140" ht="13"/>
    <row r="141" ht="13"/>
    <row r="142" ht="13"/>
    <row r="144" ht="13"/>
    <row r="145" ht="13"/>
    <row r="146" ht="13"/>
    <row r="147" ht="13"/>
    <row r="148" ht="13"/>
    <row r="149" ht="13"/>
    <row r="150" ht="13"/>
    <row r="151" ht="13"/>
    <row r="152" ht="13"/>
  </sheetData>
  <mergeCells count="4">
    <mergeCell ref="A1:D1"/>
    <mergeCell ref="H5:J5"/>
    <mergeCell ref="H14:J14"/>
    <mergeCell ref="H17:J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红包数据统计</vt:lpstr>
      <vt:lpstr>金额返还统计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......</cp:lastModifiedBy>
  <dcterms:created xsi:type="dcterms:W3CDTF">2026-01-15T19:37:00Z</dcterms:created>
  <dcterms:modified xsi:type="dcterms:W3CDTF">2026-01-15T11:44:16Z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6ED1E10ED2E64A508E4B6202167687F5_12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