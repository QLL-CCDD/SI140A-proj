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3\"/>
    </mc:Choice>
  </mc:AlternateContent>
  <xr:revisionPtr revIDLastSave="0" documentId="13_ncr:1_{609E0F15-E7AB-43FB-B5C4-99DB3648D0FB}" xr6:coauthVersionLast="47" xr6:coauthVersionMax="47" xr10:uidLastSave="{00000000-0000-0000-0000-000000000000}"/>
  <bookViews>
    <workbookView xWindow="-110" yWindow="-110" windowWidth="25420" windowHeight="16300" activeTab="1" xr2:uid="{00000000-000D-0000-FFFF-FFFF00000000}"/>
  </bookViews>
  <sheets>
    <sheet name="Received" sheetId="2" r:id="rId1"/>
    <sheet name="TotalLef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E3" i="3"/>
  <c r="F3" i="3"/>
  <c r="D4" i="3"/>
  <c r="E4" i="3"/>
  <c r="F4" i="3"/>
  <c r="D5" i="3"/>
  <c r="E5" i="3"/>
  <c r="F5" i="3"/>
  <c r="D6" i="3"/>
  <c r="E6" i="3"/>
  <c r="F6" i="3"/>
  <c r="D7" i="3"/>
  <c r="E7" i="3"/>
  <c r="F7" i="3"/>
  <c r="D8" i="3"/>
  <c r="E8" i="3"/>
  <c r="F8" i="3"/>
  <c r="D9" i="3"/>
  <c r="E9" i="3"/>
  <c r="F9" i="3" s="1"/>
  <c r="D10" i="3"/>
  <c r="E10" i="3"/>
  <c r="F10" i="3"/>
  <c r="D11" i="3"/>
  <c r="E11" i="3"/>
  <c r="F11" i="3"/>
  <c r="D12" i="3"/>
  <c r="E12" i="3"/>
  <c r="F12" i="3"/>
  <c r="D13" i="3"/>
  <c r="E13" i="3"/>
  <c r="F13" i="3"/>
  <c r="D14" i="3"/>
  <c r="E14" i="3"/>
  <c r="F14" i="3"/>
  <c r="D15" i="3"/>
  <c r="E15" i="3"/>
  <c r="F15" i="3"/>
  <c r="D16" i="3"/>
  <c r="E16" i="3" s="1"/>
  <c r="F16" i="3" s="1"/>
  <c r="D17" i="3"/>
  <c r="E17" i="3"/>
  <c r="F17" i="3"/>
  <c r="D18" i="3"/>
  <c r="E18" i="3"/>
  <c r="F18" i="3"/>
  <c r="D19" i="3"/>
  <c r="E19" i="3"/>
  <c r="F19" i="3"/>
  <c r="D20" i="3"/>
  <c r="E20" i="3"/>
  <c r="F20" i="3"/>
  <c r="D21" i="3"/>
  <c r="E21" i="3"/>
  <c r="F21" i="3"/>
  <c r="D22" i="3"/>
  <c r="E22" i="3"/>
  <c r="F22" i="3"/>
  <c r="D23" i="3"/>
  <c r="E23" i="3"/>
  <c r="F23" i="3"/>
  <c r="D24" i="3"/>
  <c r="E24" i="3"/>
  <c r="F24" i="3"/>
  <c r="D25" i="3"/>
  <c r="E25" i="3"/>
  <c r="F25" i="3"/>
  <c r="D26" i="3"/>
  <c r="E26" i="3"/>
  <c r="F26" i="3"/>
  <c r="D27" i="3"/>
  <c r="E27" i="3"/>
  <c r="F27" i="3"/>
  <c r="D28" i="3"/>
  <c r="E28" i="3"/>
  <c r="F28" i="3"/>
  <c r="D29" i="3"/>
  <c r="E29" i="3"/>
  <c r="F29" i="3" s="1"/>
  <c r="D30" i="3"/>
  <c r="E30" i="3"/>
  <c r="F30" i="3"/>
  <c r="D31" i="3"/>
  <c r="E31" i="3"/>
  <c r="F31" i="3"/>
  <c r="D32" i="3"/>
  <c r="E32" i="3"/>
  <c r="F32" i="3"/>
  <c r="D33" i="3"/>
  <c r="E33" i="3"/>
  <c r="F33" i="3"/>
  <c r="D34" i="3"/>
  <c r="E34" i="3"/>
  <c r="F34" i="3"/>
  <c r="D35" i="3"/>
  <c r="E35" i="3"/>
  <c r="F35" i="3"/>
  <c r="D36" i="3"/>
  <c r="E36" i="3" s="1"/>
  <c r="F36" i="3" s="1"/>
  <c r="D37" i="3"/>
  <c r="E37" i="3"/>
  <c r="F37" i="3"/>
  <c r="D38" i="3"/>
  <c r="E38" i="3"/>
  <c r="F38" i="3"/>
  <c r="D39" i="3"/>
  <c r="E39" i="3"/>
  <c r="F39" i="3"/>
  <c r="D40" i="3"/>
  <c r="E40" i="3"/>
  <c r="F40" i="3"/>
  <c r="D41" i="3"/>
  <c r="E41" i="3"/>
  <c r="F41" i="3"/>
  <c r="D42" i="3"/>
  <c r="E42" i="3"/>
  <c r="F42" i="3"/>
  <c r="D43" i="3"/>
  <c r="E43" i="3"/>
  <c r="F43" i="3"/>
  <c r="D44" i="3"/>
  <c r="E44" i="3"/>
  <c r="F44" i="3"/>
  <c r="D45" i="3"/>
  <c r="E45" i="3"/>
  <c r="F45" i="3"/>
  <c r="D46" i="3"/>
  <c r="E46" i="3"/>
  <c r="F46" i="3"/>
  <c r="D47" i="3"/>
  <c r="E47" i="3"/>
  <c r="F47" i="3"/>
  <c r="D48" i="3"/>
  <c r="E48" i="3"/>
  <c r="F48" i="3"/>
  <c r="D49" i="3"/>
  <c r="E49" i="3"/>
  <c r="F49" i="3" s="1"/>
  <c r="D50" i="3"/>
  <c r="E50" i="3"/>
  <c r="F50" i="3"/>
  <c r="D51" i="3"/>
  <c r="E51" i="3"/>
  <c r="F51" i="3"/>
  <c r="D52" i="3"/>
  <c r="E52" i="3"/>
  <c r="F52" i="3"/>
  <c r="D53" i="3"/>
  <c r="E53" i="3"/>
  <c r="F53" i="3"/>
  <c r="D54" i="3"/>
  <c r="E54" i="3"/>
  <c r="F54" i="3"/>
  <c r="D55" i="3"/>
  <c r="E55" i="3"/>
  <c r="F55" i="3"/>
  <c r="D56" i="3"/>
  <c r="E56" i="3" s="1"/>
  <c r="F56" i="3" s="1"/>
  <c r="D57" i="3"/>
  <c r="E57" i="3"/>
  <c r="F57" i="3"/>
  <c r="D58" i="3"/>
  <c r="E58" i="3"/>
  <c r="F58" i="3"/>
  <c r="D59" i="3"/>
  <c r="E59" i="3"/>
  <c r="F59" i="3"/>
  <c r="D60" i="3"/>
  <c r="E60" i="3"/>
  <c r="F60" i="3"/>
  <c r="D61" i="3"/>
  <c r="E61" i="3"/>
  <c r="F61" i="3"/>
  <c r="E2" i="3"/>
  <c r="F2" i="3"/>
  <c r="D2" i="3"/>
  <c r="B61" i="3"/>
  <c r="B60" i="3"/>
  <c r="B59" i="3"/>
  <c r="B58" i="3"/>
  <c r="B57" i="3"/>
  <c r="B56" i="3"/>
  <c r="B55" i="3"/>
  <c r="B54" i="3"/>
  <c r="B53" i="3"/>
  <c r="B52" i="3"/>
  <c r="D63" i="2"/>
  <c r="E63" i="2"/>
  <c r="D62" i="2"/>
  <c r="E62" i="2"/>
  <c r="C62" i="2"/>
  <c r="C6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2" i="2"/>
  <c r="B61" i="2"/>
  <c r="B60" i="2"/>
  <c r="B59" i="2"/>
  <c r="B58" i="2"/>
  <c r="B57" i="2"/>
  <c r="B56" i="2"/>
  <c r="B55" i="2"/>
  <c r="B54" i="2"/>
  <c r="B53" i="2"/>
  <c r="B52" i="2"/>
</calcChain>
</file>

<file path=xl/sharedStrings.xml><?xml version="1.0" encoding="utf-8"?>
<sst xmlns="http://schemas.openxmlformats.org/spreadsheetml/2006/main" count="46" uniqueCount="20">
  <si>
    <t>钱磊</t>
  </si>
  <si>
    <t>发送者</t>
  </si>
  <si>
    <t>红包编号\名次</t>
  </si>
  <si>
    <t>徐景骐</t>
  </si>
  <si>
    <t>张子豪</t>
  </si>
  <si>
    <t>总计</t>
    <phoneticPr fontId="2" type="noConversion"/>
  </si>
  <si>
    <t>均值</t>
    <phoneticPr fontId="2" type="noConversion"/>
  </si>
  <si>
    <t>/</t>
    <phoneticPr fontId="2" type="noConversion"/>
  </si>
  <si>
    <t>方差</t>
    <phoneticPr fontId="2" type="noConversion"/>
  </si>
  <si>
    <t>[10.01,20.00]</t>
    <phoneticPr fontId="2" type="noConversion"/>
  </si>
  <si>
    <t>[20.01,30.01]</t>
    <phoneticPr fontId="2" type="noConversion"/>
  </si>
  <si>
    <t>[00.01,10.00]</t>
    <phoneticPr fontId="2" type="noConversion"/>
  </si>
  <si>
    <t>[30.01,40.00]</t>
    <phoneticPr fontId="2" type="noConversion"/>
  </si>
  <si>
    <t>[40.01,50.00]</t>
    <phoneticPr fontId="2" type="noConversion"/>
  </si>
  <si>
    <t>[50.01,60.00]</t>
    <phoneticPr fontId="2" type="noConversion"/>
  </si>
  <si>
    <t>Interval</t>
    <phoneticPr fontId="2" type="noConversion"/>
  </si>
  <si>
    <t>Count</t>
    <phoneticPr fontId="2" type="noConversion"/>
  </si>
  <si>
    <t>Sender</t>
    <phoneticPr fontId="2" type="noConversion"/>
  </si>
  <si>
    <t>Red Envelope receive rank</t>
    <phoneticPr fontId="2" type="noConversion"/>
  </si>
  <si>
    <t>Left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</si>
</sst>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name val="Microsoft YaHei"/>
    </font>
    <font>
      <sz val="11"/>
      <name val="Microsoft YaHei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1st Received</a:t>
            </a:r>
            <a:endParaRPr lang="zh-CN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0"/>
          <c:cat>
            <c:strRef>
              <c:f>Received!$H$5:$H$10</c:f>
              <c:strCache>
                <c:ptCount val="6"/>
                <c:pt idx="0">
                  <c:v>[00.01,10.00]</c:v>
                </c:pt>
                <c:pt idx="1">
                  <c:v>[10.01,20.00]</c:v>
                </c:pt>
                <c:pt idx="2">
                  <c:v>[20.01,30.01]</c:v>
                </c:pt>
                <c:pt idx="3">
                  <c:v>[30.01,40.00]</c:v>
                </c:pt>
                <c:pt idx="4">
                  <c:v>[40.01,50.00]</c:v>
                </c:pt>
                <c:pt idx="5">
                  <c:v>[50.01,60.00]</c:v>
                </c:pt>
              </c:strCache>
            </c:strRef>
          </c:cat>
          <c:val>
            <c:numRef>
              <c:f>Received!$I$5:$I$10</c:f>
              <c:numCache>
                <c:formatCode>General</c:formatCode>
                <c:ptCount val="6"/>
                <c:pt idx="0">
                  <c:v>11</c:v>
                </c:pt>
                <c:pt idx="1">
                  <c:v>18</c:v>
                </c:pt>
                <c:pt idx="2">
                  <c:v>17</c:v>
                </c:pt>
                <c:pt idx="3">
                  <c:v>14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FD-49D1-BD7A-2377AABAF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94475760"/>
        <c:axId val="1694475280"/>
      </c:barChart>
      <c:catAx>
        <c:axId val="169447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94475280"/>
        <c:crosses val="autoZero"/>
        <c:auto val="1"/>
        <c:lblAlgn val="ctr"/>
        <c:lblOffset val="100"/>
        <c:noMultiLvlLbl val="0"/>
      </c:catAx>
      <c:valAx>
        <c:axId val="1694475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Count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4757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800" b="1" i="0" u="none" strike="noStrike" kern="1200" baseline="0">
                <a:solidFill>
                  <a:sysClr val="windowText" lastClr="000000"/>
                </a:solidFill>
              </a:rPr>
              <a:t>2nd Received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0"/>
          <c:cat>
            <c:strRef>
              <c:f>Received!$H$16:$H$21</c:f>
              <c:strCache>
                <c:ptCount val="6"/>
                <c:pt idx="0">
                  <c:v>[00.01,10.00]</c:v>
                </c:pt>
                <c:pt idx="1">
                  <c:v>[10.01,20.00]</c:v>
                </c:pt>
                <c:pt idx="2">
                  <c:v>[20.01,30.01]</c:v>
                </c:pt>
                <c:pt idx="3">
                  <c:v>[30.01,40.00]</c:v>
                </c:pt>
                <c:pt idx="4">
                  <c:v>[40.01,50.00]</c:v>
                </c:pt>
                <c:pt idx="5">
                  <c:v>[50.01,60.00]</c:v>
                </c:pt>
              </c:strCache>
            </c:strRef>
          </c:cat>
          <c:val>
            <c:numRef>
              <c:f>Received!$I$16:$I$21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13</c:v>
                </c:pt>
                <c:pt idx="3">
                  <c:v>10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D8-4C1E-89FE-5330B0A97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493131760"/>
        <c:axId val="1493132720"/>
      </c:barChart>
      <c:catAx>
        <c:axId val="149313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93132720"/>
        <c:crosses val="autoZero"/>
        <c:auto val="1"/>
        <c:lblAlgn val="ctr"/>
        <c:lblOffset val="100"/>
        <c:noMultiLvlLbl val="0"/>
      </c:catAx>
      <c:valAx>
        <c:axId val="1493132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Count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931317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3rd received</a:t>
            </a:r>
            <a:endParaRPr lang="zh-CN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频率</c:v>
          </c:tx>
          <c:invertIfNegative val="0"/>
          <c:cat>
            <c:strRef>
              <c:f>Received!$H$27:$H$32</c:f>
              <c:strCache>
                <c:ptCount val="6"/>
                <c:pt idx="0">
                  <c:v>[00.01,10.00]</c:v>
                </c:pt>
                <c:pt idx="1">
                  <c:v>[10.01,20.00]</c:v>
                </c:pt>
                <c:pt idx="2">
                  <c:v>[20.01,30.01]</c:v>
                </c:pt>
                <c:pt idx="3">
                  <c:v>[30.01,40.00]</c:v>
                </c:pt>
                <c:pt idx="4">
                  <c:v>[40.01,50.00]</c:v>
                </c:pt>
                <c:pt idx="5">
                  <c:v>[50.01,60.00]</c:v>
                </c:pt>
              </c:strCache>
            </c:strRef>
          </c:cat>
          <c:val>
            <c:numRef>
              <c:f>Received!$I$27:$I$32</c:f>
              <c:numCache>
                <c:formatCode>General</c:formatCode>
                <c:ptCount val="6"/>
                <c:pt idx="0">
                  <c:v>16</c:v>
                </c:pt>
                <c:pt idx="1">
                  <c:v>23</c:v>
                </c:pt>
                <c:pt idx="2">
                  <c:v>7</c:v>
                </c:pt>
                <c:pt idx="3">
                  <c:v>11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8F-4CDC-BF95-D96F133B0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69012352"/>
        <c:axId val="1769011392"/>
      </c:barChart>
      <c:catAx>
        <c:axId val="1769012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9011392"/>
        <c:crosses val="autoZero"/>
        <c:auto val="1"/>
        <c:lblAlgn val="ctr"/>
        <c:lblOffset val="100"/>
        <c:noMultiLvlLbl val="0"/>
      </c:catAx>
      <c:valAx>
        <c:axId val="1769011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Count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90123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3</xdr:row>
      <xdr:rowOff>0</xdr:rowOff>
    </xdr:from>
    <xdr:to>
      <xdr:col>15</xdr:col>
      <xdr:colOff>6350</xdr:colOff>
      <xdr:row>13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E7B697A-875F-CBD2-2271-AEDB6355F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</xdr:colOff>
      <xdr:row>14</xdr:row>
      <xdr:rowOff>0</xdr:rowOff>
    </xdr:from>
    <xdr:to>
      <xdr:col>15</xdr:col>
      <xdr:colOff>6350</xdr:colOff>
      <xdr:row>24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4B3EB9C-881D-B5CB-08A3-91DC88BC8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15</xdr:col>
      <xdr:colOff>0</xdr:colOff>
      <xdr:row>35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380B10EE-EEC6-1009-B195-E71DB6863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红包数据统计"/>
  <dimension ref="A1:L65"/>
  <sheetViews>
    <sheetView topLeftCell="A31" workbookViewId="0">
      <selection activeCell="H65" sqref="H65"/>
    </sheetView>
  </sheetViews>
  <sheetFormatPr defaultColWidth="14.15234375" defaultRowHeight="18" customHeight="1"/>
  <sheetData>
    <row r="1" spans="1:12" ht="18" customHeight="1">
      <c r="A1" s="1" t="s">
        <v>1</v>
      </c>
      <c r="B1" s="1" t="s">
        <v>2</v>
      </c>
      <c r="C1">
        <v>1</v>
      </c>
      <c r="D1">
        <v>2</v>
      </c>
      <c r="E1">
        <v>3</v>
      </c>
      <c r="F1" s="4" t="s">
        <v>5</v>
      </c>
      <c r="H1">
        <v>10</v>
      </c>
      <c r="I1">
        <v>20</v>
      </c>
      <c r="J1">
        <v>30</v>
      </c>
      <c r="K1">
        <v>40</v>
      </c>
      <c r="L1">
        <v>50</v>
      </c>
    </row>
    <row r="2" spans="1:12" ht="18" customHeight="1">
      <c r="A2" s="12" t="s">
        <v>0</v>
      </c>
      <c r="B2">
        <v>1</v>
      </c>
      <c r="C2" s="11">
        <v>26.77</v>
      </c>
      <c r="D2" s="11">
        <v>26.68</v>
      </c>
      <c r="E2" s="11">
        <v>6.55</v>
      </c>
      <c r="F2">
        <f>SUM(C2:E2)</f>
        <v>60</v>
      </c>
    </row>
    <row r="3" spans="1:12" ht="18" customHeight="1" thickBot="1">
      <c r="A3" s="13"/>
      <c r="B3">
        <v>2</v>
      </c>
      <c r="C3" s="11">
        <v>37.01</v>
      </c>
      <c r="D3" s="11">
        <v>9.89</v>
      </c>
      <c r="E3" s="11">
        <v>13.1</v>
      </c>
      <c r="F3">
        <f t="shared" ref="F3:F61" si="0">SUM(C3:E3)</f>
        <v>60</v>
      </c>
    </row>
    <row r="4" spans="1:12" ht="18" customHeight="1">
      <c r="A4" s="13"/>
      <c r="B4">
        <v>3</v>
      </c>
      <c r="C4" s="11">
        <v>19.829999999999998</v>
      </c>
      <c r="D4" s="11">
        <v>23.87</v>
      </c>
      <c r="E4" s="11">
        <v>16.3</v>
      </c>
      <c r="F4">
        <f t="shared" si="0"/>
        <v>60</v>
      </c>
      <c r="H4" s="7" t="s">
        <v>15</v>
      </c>
      <c r="I4" s="7" t="s">
        <v>16</v>
      </c>
    </row>
    <row r="5" spans="1:12" ht="18" customHeight="1">
      <c r="A5" s="13"/>
      <c r="B5">
        <v>4</v>
      </c>
      <c r="C5" s="11">
        <v>29.88</v>
      </c>
      <c r="D5" s="11">
        <v>29.48</v>
      </c>
      <c r="E5" s="11">
        <v>0.64</v>
      </c>
      <c r="F5">
        <f t="shared" si="0"/>
        <v>60</v>
      </c>
      <c r="H5" s="8" t="s">
        <v>11</v>
      </c>
      <c r="I5" s="3">
        <v>11</v>
      </c>
    </row>
    <row r="6" spans="1:12" ht="18" customHeight="1">
      <c r="A6" s="13"/>
      <c r="B6">
        <v>5</v>
      </c>
      <c r="C6" s="11">
        <v>21.3</v>
      </c>
      <c r="D6" s="11">
        <v>12.21</v>
      </c>
      <c r="E6" s="11">
        <v>26.49</v>
      </c>
      <c r="F6">
        <f t="shared" si="0"/>
        <v>60</v>
      </c>
      <c r="H6" s="8" t="s">
        <v>9</v>
      </c>
      <c r="I6" s="3">
        <v>18</v>
      </c>
    </row>
    <row r="7" spans="1:12" ht="18" customHeight="1">
      <c r="A7" s="13"/>
      <c r="B7">
        <v>6</v>
      </c>
      <c r="C7" s="11">
        <v>22.35</v>
      </c>
      <c r="D7" s="11">
        <v>28.6</v>
      </c>
      <c r="E7" s="11">
        <v>9.0500000000000007</v>
      </c>
      <c r="F7">
        <f t="shared" si="0"/>
        <v>60</v>
      </c>
      <c r="H7" s="8" t="s">
        <v>10</v>
      </c>
      <c r="I7" s="3">
        <v>17</v>
      </c>
    </row>
    <row r="8" spans="1:12" ht="18" customHeight="1">
      <c r="A8" s="13"/>
      <c r="B8">
        <v>7</v>
      </c>
      <c r="C8" s="11">
        <v>7.17</v>
      </c>
      <c r="D8" s="11">
        <v>47.27</v>
      </c>
      <c r="E8" s="11">
        <v>5.56</v>
      </c>
      <c r="F8">
        <f t="shared" si="0"/>
        <v>60.000000000000007</v>
      </c>
      <c r="H8" s="8" t="s">
        <v>12</v>
      </c>
      <c r="I8" s="3">
        <v>14</v>
      </c>
    </row>
    <row r="9" spans="1:12" ht="18" customHeight="1">
      <c r="A9" s="13"/>
      <c r="B9">
        <v>8</v>
      </c>
      <c r="C9" s="11">
        <v>28.77</v>
      </c>
      <c r="D9" s="11">
        <v>24.38</v>
      </c>
      <c r="E9" s="11">
        <v>6.85</v>
      </c>
      <c r="F9">
        <f t="shared" si="0"/>
        <v>60</v>
      </c>
      <c r="H9" s="8" t="s">
        <v>13</v>
      </c>
      <c r="I9" s="3">
        <v>0</v>
      </c>
    </row>
    <row r="10" spans="1:12" ht="18" customHeight="1" thickBot="1">
      <c r="A10" s="13"/>
      <c r="B10">
        <v>9</v>
      </c>
      <c r="C10" s="11">
        <v>10.34</v>
      </c>
      <c r="D10" s="11">
        <v>31</v>
      </c>
      <c r="E10" s="11">
        <v>18.66</v>
      </c>
      <c r="F10">
        <f t="shared" si="0"/>
        <v>60</v>
      </c>
      <c r="H10" s="9" t="s">
        <v>14</v>
      </c>
      <c r="I10" s="6">
        <v>0</v>
      </c>
    </row>
    <row r="11" spans="1:12" ht="18" customHeight="1">
      <c r="A11" s="13"/>
      <c r="B11">
        <v>10</v>
      </c>
      <c r="C11" s="11">
        <v>39.880000000000003</v>
      </c>
      <c r="D11" s="11">
        <v>5.83</v>
      </c>
      <c r="E11" s="11">
        <v>14.29</v>
      </c>
      <c r="F11">
        <f t="shared" si="0"/>
        <v>60</v>
      </c>
    </row>
    <row r="12" spans="1:12" ht="18" customHeight="1">
      <c r="A12" s="14" t="s">
        <v>3</v>
      </c>
      <c r="B12">
        <v>1</v>
      </c>
      <c r="C12" s="11">
        <v>38.85</v>
      </c>
      <c r="D12" s="11">
        <v>17.39</v>
      </c>
      <c r="E12" s="11">
        <v>3.76</v>
      </c>
      <c r="F12">
        <f t="shared" si="0"/>
        <v>60</v>
      </c>
      <c r="G12" s="2"/>
    </row>
    <row r="13" spans="1:12" ht="18" customHeight="1">
      <c r="A13" s="13"/>
      <c r="B13">
        <v>2</v>
      </c>
      <c r="C13" s="11">
        <v>24.71</v>
      </c>
      <c r="D13" s="11">
        <v>30.44</v>
      </c>
      <c r="E13" s="11">
        <v>4.8499999999999996</v>
      </c>
      <c r="F13">
        <f t="shared" si="0"/>
        <v>60.000000000000007</v>
      </c>
      <c r="G13" s="3"/>
    </row>
    <row r="14" spans="1:12" ht="18" customHeight="1" thickBot="1">
      <c r="A14" s="13"/>
      <c r="B14">
        <v>3</v>
      </c>
      <c r="C14" s="11">
        <v>9.11</v>
      </c>
      <c r="D14" s="11">
        <v>25.66</v>
      </c>
      <c r="E14" s="11">
        <v>25.23</v>
      </c>
      <c r="F14">
        <f t="shared" si="0"/>
        <v>60</v>
      </c>
      <c r="G14" s="3"/>
    </row>
    <row r="15" spans="1:12" ht="18" customHeight="1">
      <c r="A15" s="13"/>
      <c r="B15">
        <v>4</v>
      </c>
      <c r="C15" s="11">
        <v>13.93</v>
      </c>
      <c r="D15" s="11">
        <v>44.21</v>
      </c>
      <c r="E15" s="11">
        <v>1.86</v>
      </c>
      <c r="F15">
        <f t="shared" si="0"/>
        <v>60</v>
      </c>
      <c r="G15" s="3"/>
      <c r="H15" s="7" t="s">
        <v>15</v>
      </c>
      <c r="I15" s="7" t="s">
        <v>16</v>
      </c>
    </row>
    <row r="16" spans="1:12" ht="18" customHeight="1">
      <c r="A16" s="13"/>
      <c r="B16">
        <v>5</v>
      </c>
      <c r="C16" s="11">
        <v>25.77</v>
      </c>
      <c r="D16" s="11">
        <v>1.71</v>
      </c>
      <c r="E16" s="11">
        <v>32.520000000000003</v>
      </c>
      <c r="F16">
        <f t="shared" si="0"/>
        <v>60</v>
      </c>
      <c r="G16" s="3"/>
      <c r="H16" s="8" t="s">
        <v>11</v>
      </c>
      <c r="I16" s="3">
        <v>17</v>
      </c>
    </row>
    <row r="17" spans="1:9" ht="18" customHeight="1">
      <c r="A17" s="13"/>
      <c r="B17">
        <v>6</v>
      </c>
      <c r="C17" s="11">
        <v>19.22</v>
      </c>
      <c r="D17" s="11">
        <v>30.39</v>
      </c>
      <c r="E17" s="11">
        <v>10.39</v>
      </c>
      <c r="F17">
        <f t="shared" si="0"/>
        <v>60</v>
      </c>
      <c r="G17" s="3"/>
      <c r="H17" s="8" t="s">
        <v>9</v>
      </c>
      <c r="I17" s="3">
        <v>17</v>
      </c>
    </row>
    <row r="18" spans="1:9" ht="18" customHeight="1">
      <c r="A18" s="13"/>
      <c r="B18">
        <v>7</v>
      </c>
      <c r="C18" s="11">
        <v>21.04</v>
      </c>
      <c r="D18" s="11">
        <v>3.76</v>
      </c>
      <c r="E18" s="11">
        <v>35.200000000000003</v>
      </c>
      <c r="F18">
        <f t="shared" si="0"/>
        <v>60</v>
      </c>
      <c r="G18" s="3"/>
      <c r="H18" s="8" t="s">
        <v>10</v>
      </c>
      <c r="I18" s="3">
        <v>13</v>
      </c>
    </row>
    <row r="19" spans="1:9" ht="18" customHeight="1">
      <c r="A19" s="13"/>
      <c r="B19">
        <v>8</v>
      </c>
      <c r="C19" s="11">
        <v>36.14</v>
      </c>
      <c r="D19" s="11">
        <v>19.25</v>
      </c>
      <c r="E19" s="11">
        <v>4.6100000000000003</v>
      </c>
      <c r="F19">
        <f t="shared" si="0"/>
        <v>60</v>
      </c>
      <c r="G19" s="3"/>
      <c r="H19" s="8" t="s">
        <v>12</v>
      </c>
      <c r="I19" s="3">
        <v>10</v>
      </c>
    </row>
    <row r="20" spans="1:9" ht="18" customHeight="1">
      <c r="A20" s="13"/>
      <c r="B20">
        <v>9</v>
      </c>
      <c r="C20" s="11">
        <v>38.82</v>
      </c>
      <c r="D20" s="11">
        <v>17.41</v>
      </c>
      <c r="E20" s="11">
        <v>3.77</v>
      </c>
      <c r="F20">
        <f t="shared" si="0"/>
        <v>60.000000000000007</v>
      </c>
      <c r="G20" s="3"/>
      <c r="H20" s="8" t="s">
        <v>13</v>
      </c>
      <c r="I20" s="3">
        <v>2</v>
      </c>
    </row>
    <row r="21" spans="1:9" ht="18" customHeight="1" thickBot="1">
      <c r="A21" s="13"/>
      <c r="B21">
        <v>10</v>
      </c>
      <c r="C21" s="11">
        <v>18.37</v>
      </c>
      <c r="D21" s="11">
        <v>14.97</v>
      </c>
      <c r="E21" s="11">
        <v>26.66</v>
      </c>
      <c r="F21">
        <f t="shared" si="0"/>
        <v>60</v>
      </c>
      <c r="G21" s="3"/>
      <c r="H21" s="9" t="s">
        <v>14</v>
      </c>
      <c r="I21" s="6">
        <v>1</v>
      </c>
    </row>
    <row r="22" spans="1:9" ht="16.5">
      <c r="A22" s="12" t="s">
        <v>0</v>
      </c>
      <c r="B22">
        <v>1</v>
      </c>
      <c r="C22" s="11">
        <v>18.22</v>
      </c>
      <c r="D22" s="11">
        <v>9.69</v>
      </c>
      <c r="E22" s="11">
        <v>32.090000000000003</v>
      </c>
      <c r="F22">
        <f t="shared" si="0"/>
        <v>60</v>
      </c>
    </row>
    <row r="23" spans="1:9" ht="16.5">
      <c r="A23" s="13"/>
      <c r="B23">
        <v>2</v>
      </c>
      <c r="C23" s="11">
        <v>8.7799999999999994</v>
      </c>
      <c r="D23" s="11">
        <v>35.119999999999997</v>
      </c>
      <c r="E23" s="11">
        <v>16.100000000000001</v>
      </c>
      <c r="F23">
        <f t="shared" si="0"/>
        <v>60</v>
      </c>
    </row>
    <row r="24" spans="1:9" ht="16.5">
      <c r="A24" s="13"/>
      <c r="B24">
        <v>3</v>
      </c>
      <c r="C24" s="11">
        <v>14.15</v>
      </c>
      <c r="D24" s="11">
        <v>2.98</v>
      </c>
      <c r="E24" s="11">
        <v>42.87</v>
      </c>
      <c r="F24">
        <f t="shared" si="0"/>
        <v>60</v>
      </c>
    </row>
    <row r="25" spans="1:9" ht="17" thickBot="1">
      <c r="A25" s="13"/>
      <c r="B25">
        <v>4</v>
      </c>
      <c r="C25" s="11">
        <v>29.54</v>
      </c>
      <c r="D25" s="11">
        <v>14.21</v>
      </c>
      <c r="E25" s="11">
        <v>16.25</v>
      </c>
      <c r="F25">
        <f t="shared" si="0"/>
        <v>60</v>
      </c>
    </row>
    <row r="26" spans="1:9" ht="16.5">
      <c r="A26" s="13"/>
      <c r="B26">
        <v>5</v>
      </c>
      <c r="C26" s="11">
        <v>22.21</v>
      </c>
      <c r="D26" s="11">
        <v>15.4</v>
      </c>
      <c r="E26" s="11">
        <v>22.39</v>
      </c>
      <c r="F26">
        <f t="shared" si="0"/>
        <v>60</v>
      </c>
      <c r="H26" s="7" t="s">
        <v>15</v>
      </c>
      <c r="I26" s="7" t="s">
        <v>16</v>
      </c>
    </row>
    <row r="27" spans="1:9" ht="16.5">
      <c r="A27" s="13"/>
      <c r="B27">
        <v>6</v>
      </c>
      <c r="C27" s="11">
        <v>21.97</v>
      </c>
      <c r="D27" s="11">
        <v>4.9000000000000004</v>
      </c>
      <c r="E27" s="11">
        <v>33.130000000000003</v>
      </c>
      <c r="F27">
        <f t="shared" si="0"/>
        <v>60</v>
      </c>
      <c r="H27" s="8" t="s">
        <v>11</v>
      </c>
      <c r="I27" s="3">
        <v>16</v>
      </c>
    </row>
    <row r="28" spans="1:9" ht="16.5">
      <c r="A28" s="13"/>
      <c r="B28">
        <v>7</v>
      </c>
      <c r="C28" s="11">
        <v>13.64</v>
      </c>
      <c r="D28" s="11">
        <v>14.16</v>
      </c>
      <c r="E28" s="11">
        <v>32.200000000000003</v>
      </c>
      <c r="F28">
        <f t="shared" si="0"/>
        <v>60</v>
      </c>
      <c r="H28" s="8" t="s">
        <v>9</v>
      </c>
      <c r="I28" s="3">
        <v>23</v>
      </c>
    </row>
    <row r="29" spans="1:9" ht="16.5">
      <c r="A29" s="13"/>
      <c r="B29">
        <v>8</v>
      </c>
      <c r="C29" s="11">
        <v>8.3699999999999992</v>
      </c>
      <c r="D29" s="11">
        <v>36.479999999999997</v>
      </c>
      <c r="E29" s="11">
        <v>15.15</v>
      </c>
      <c r="F29">
        <f t="shared" si="0"/>
        <v>59.999999999999993</v>
      </c>
      <c r="H29" s="8" t="s">
        <v>10</v>
      </c>
      <c r="I29" s="3">
        <v>7</v>
      </c>
    </row>
    <row r="30" spans="1:9" ht="16.5">
      <c r="A30" s="13"/>
      <c r="B30">
        <v>9</v>
      </c>
      <c r="C30" s="11">
        <v>2.62</v>
      </c>
      <c r="D30" s="11">
        <v>38.33</v>
      </c>
      <c r="E30" s="11">
        <v>19.05</v>
      </c>
      <c r="F30">
        <f t="shared" si="0"/>
        <v>60</v>
      </c>
      <c r="H30" s="8" t="s">
        <v>12</v>
      </c>
      <c r="I30" s="3">
        <v>11</v>
      </c>
    </row>
    <row r="31" spans="1:9" ht="16.5">
      <c r="A31" s="13"/>
      <c r="B31">
        <v>10</v>
      </c>
      <c r="C31" s="11">
        <v>36.659999999999997</v>
      </c>
      <c r="D31" s="11">
        <v>6.12</v>
      </c>
      <c r="E31" s="11">
        <v>17.22</v>
      </c>
      <c r="F31">
        <f t="shared" si="0"/>
        <v>59.999999999999993</v>
      </c>
      <c r="H31" s="8" t="s">
        <v>13</v>
      </c>
      <c r="I31" s="3">
        <v>2</v>
      </c>
    </row>
    <row r="32" spans="1:9" ht="17" thickBot="1">
      <c r="A32" s="12" t="s">
        <v>3</v>
      </c>
      <c r="B32">
        <v>1</v>
      </c>
      <c r="C32" s="11">
        <v>15.52</v>
      </c>
      <c r="D32" s="11">
        <v>17.75</v>
      </c>
      <c r="E32" s="11">
        <v>26.73</v>
      </c>
      <c r="F32">
        <f t="shared" si="0"/>
        <v>60</v>
      </c>
      <c r="H32" s="9" t="s">
        <v>14</v>
      </c>
      <c r="I32" s="6">
        <v>1</v>
      </c>
    </row>
    <row r="33" spans="1:6" ht="16.5">
      <c r="A33" s="13"/>
      <c r="B33">
        <v>2</v>
      </c>
      <c r="C33" s="11">
        <v>30.49</v>
      </c>
      <c r="D33" s="11">
        <v>16.690000000000001</v>
      </c>
      <c r="E33" s="11">
        <v>12.82</v>
      </c>
      <c r="F33">
        <f t="shared" si="0"/>
        <v>60</v>
      </c>
    </row>
    <row r="34" spans="1:6" ht="16.5">
      <c r="A34" s="13"/>
      <c r="B34">
        <v>3</v>
      </c>
      <c r="C34" s="11">
        <v>19.829999999999998</v>
      </c>
      <c r="D34" s="11">
        <v>16.32</v>
      </c>
      <c r="E34" s="11">
        <v>23.85</v>
      </c>
      <c r="F34">
        <f t="shared" si="0"/>
        <v>60</v>
      </c>
    </row>
    <row r="35" spans="1:6" ht="16.5">
      <c r="A35" s="13"/>
      <c r="B35">
        <v>4</v>
      </c>
      <c r="C35" s="11">
        <v>8.3699999999999992</v>
      </c>
      <c r="D35" s="11">
        <v>2.58</v>
      </c>
      <c r="E35" s="11">
        <v>49.05</v>
      </c>
      <c r="F35">
        <f t="shared" si="0"/>
        <v>60</v>
      </c>
    </row>
    <row r="36" spans="1:6" ht="16.5">
      <c r="A36" s="13"/>
      <c r="B36">
        <v>5</v>
      </c>
      <c r="C36" s="11">
        <v>6.75</v>
      </c>
      <c r="D36" s="11">
        <v>53.1</v>
      </c>
      <c r="E36" s="11">
        <v>0.15</v>
      </c>
      <c r="F36">
        <f t="shared" si="0"/>
        <v>60</v>
      </c>
    </row>
    <row r="37" spans="1:6" ht="16.5">
      <c r="A37" s="13"/>
      <c r="B37">
        <v>6</v>
      </c>
      <c r="C37" s="11">
        <v>26.07</v>
      </c>
      <c r="D37" s="11">
        <v>23.11</v>
      </c>
      <c r="E37" s="11">
        <v>10.82</v>
      </c>
      <c r="F37">
        <f t="shared" si="0"/>
        <v>60</v>
      </c>
    </row>
    <row r="38" spans="1:6" ht="16.5">
      <c r="A38" s="13"/>
      <c r="B38">
        <v>7</v>
      </c>
      <c r="C38" s="11">
        <v>34.32</v>
      </c>
      <c r="D38" s="11">
        <v>12.4</v>
      </c>
      <c r="E38" s="11">
        <v>13.28</v>
      </c>
      <c r="F38">
        <f t="shared" si="0"/>
        <v>60</v>
      </c>
    </row>
    <row r="39" spans="1:6" ht="16.5">
      <c r="A39" s="13"/>
      <c r="B39">
        <v>8</v>
      </c>
      <c r="C39" s="11">
        <v>29.84</v>
      </c>
      <c r="D39" s="11">
        <v>21.09</v>
      </c>
      <c r="E39" s="11">
        <v>9.07</v>
      </c>
      <c r="F39">
        <f t="shared" si="0"/>
        <v>60</v>
      </c>
    </row>
    <row r="40" spans="1:6" ht="16.5">
      <c r="A40" s="13"/>
      <c r="B40">
        <v>9</v>
      </c>
      <c r="C40" s="11">
        <v>25.96</v>
      </c>
      <c r="D40" s="11">
        <v>16.45</v>
      </c>
      <c r="E40" s="11">
        <v>17.59</v>
      </c>
      <c r="F40">
        <f t="shared" si="0"/>
        <v>60</v>
      </c>
    </row>
    <row r="41" spans="1:6" ht="16.5">
      <c r="A41" s="13"/>
      <c r="B41">
        <v>10</v>
      </c>
      <c r="C41" s="11">
        <v>25.07</v>
      </c>
      <c r="D41" s="11">
        <v>19.600000000000001</v>
      </c>
      <c r="E41" s="11">
        <v>15.33</v>
      </c>
      <c r="F41">
        <f t="shared" si="0"/>
        <v>60</v>
      </c>
    </row>
    <row r="42" spans="1:6" ht="16.5">
      <c r="A42" s="12" t="s">
        <v>4</v>
      </c>
      <c r="B42">
        <v>1</v>
      </c>
      <c r="C42" s="11">
        <v>7.95</v>
      </c>
      <c r="D42" s="11">
        <v>16.41</v>
      </c>
      <c r="E42" s="11">
        <v>35.64</v>
      </c>
      <c r="F42">
        <f t="shared" si="0"/>
        <v>60</v>
      </c>
    </row>
    <row r="43" spans="1:6" ht="16.5">
      <c r="A43" s="13"/>
      <c r="B43">
        <v>2</v>
      </c>
      <c r="C43" s="11">
        <v>33.79</v>
      </c>
      <c r="D43" s="11">
        <v>22.41</v>
      </c>
      <c r="E43" s="11">
        <v>3.8</v>
      </c>
      <c r="F43">
        <f t="shared" si="0"/>
        <v>60</v>
      </c>
    </row>
    <row r="44" spans="1:6" ht="16.5">
      <c r="A44" s="13"/>
      <c r="B44">
        <v>3</v>
      </c>
      <c r="C44" s="11">
        <v>11.71</v>
      </c>
      <c r="D44" s="11">
        <v>32.64</v>
      </c>
      <c r="E44" s="11">
        <v>15.65</v>
      </c>
      <c r="F44">
        <f t="shared" si="0"/>
        <v>60</v>
      </c>
    </row>
    <row r="45" spans="1:6" ht="16.5">
      <c r="A45" s="13"/>
      <c r="B45">
        <v>4</v>
      </c>
      <c r="C45" s="11">
        <v>2.68</v>
      </c>
      <c r="D45" s="11">
        <v>38.950000000000003</v>
      </c>
      <c r="E45" s="11">
        <v>18.37</v>
      </c>
      <c r="F45">
        <f t="shared" si="0"/>
        <v>60</v>
      </c>
    </row>
    <row r="46" spans="1:6" ht="16.5">
      <c r="A46" s="13"/>
      <c r="B46">
        <v>5</v>
      </c>
      <c r="C46" s="11">
        <v>33.07</v>
      </c>
      <c r="D46" s="11">
        <v>7.39</v>
      </c>
      <c r="E46" s="11">
        <v>19.54</v>
      </c>
      <c r="F46">
        <f t="shared" si="0"/>
        <v>60</v>
      </c>
    </row>
    <row r="47" spans="1:6" ht="16.5">
      <c r="A47" s="13"/>
      <c r="B47">
        <v>6</v>
      </c>
      <c r="C47" s="11">
        <v>20.51</v>
      </c>
      <c r="D47" s="11">
        <v>31.52</v>
      </c>
      <c r="E47" s="11">
        <v>7.97</v>
      </c>
      <c r="F47">
        <f t="shared" si="0"/>
        <v>60</v>
      </c>
    </row>
    <row r="48" spans="1:6" ht="16.5">
      <c r="A48" s="13"/>
      <c r="B48">
        <v>7</v>
      </c>
      <c r="C48" s="11">
        <v>19.79</v>
      </c>
      <c r="D48" s="11">
        <v>28.33</v>
      </c>
      <c r="E48" s="11">
        <v>11.88</v>
      </c>
      <c r="F48">
        <f t="shared" si="0"/>
        <v>60</v>
      </c>
    </row>
    <row r="49" spans="1:6" ht="16.5">
      <c r="A49" s="13"/>
      <c r="B49">
        <v>8</v>
      </c>
      <c r="C49" s="11">
        <v>6.29</v>
      </c>
      <c r="D49" s="11">
        <v>16.510000000000002</v>
      </c>
      <c r="E49" s="11">
        <v>37.200000000000003</v>
      </c>
      <c r="F49">
        <f t="shared" si="0"/>
        <v>60</v>
      </c>
    </row>
    <row r="50" spans="1:6" ht="16.5">
      <c r="A50" s="13"/>
      <c r="B50">
        <v>9</v>
      </c>
      <c r="C50" s="11">
        <v>16.2</v>
      </c>
      <c r="D50" s="11">
        <v>5.78</v>
      </c>
      <c r="E50" s="11">
        <v>38.020000000000003</v>
      </c>
      <c r="F50">
        <f t="shared" si="0"/>
        <v>60</v>
      </c>
    </row>
    <row r="51" spans="1:6" ht="16.5">
      <c r="A51" s="13"/>
      <c r="B51">
        <v>10</v>
      </c>
      <c r="C51" s="11">
        <v>2</v>
      </c>
      <c r="D51" s="11">
        <v>5.47</v>
      </c>
      <c r="E51" s="11">
        <v>52.53</v>
      </c>
      <c r="F51">
        <f t="shared" si="0"/>
        <v>60</v>
      </c>
    </row>
    <row r="52" spans="1:6" ht="16.5">
      <c r="A52" s="13"/>
      <c r="B52">
        <f t="shared" ref="B52:B61" si="1">B42+10</f>
        <v>11</v>
      </c>
      <c r="C52" s="11">
        <v>31.86</v>
      </c>
      <c r="D52" s="11">
        <v>24.54</v>
      </c>
      <c r="E52" s="11">
        <v>3.6</v>
      </c>
      <c r="F52">
        <f t="shared" si="0"/>
        <v>60</v>
      </c>
    </row>
    <row r="53" spans="1:6" ht="16.5">
      <c r="A53" s="13"/>
      <c r="B53">
        <f t="shared" si="1"/>
        <v>12</v>
      </c>
      <c r="C53" s="11">
        <v>12.37</v>
      </c>
      <c r="D53" s="11">
        <v>8.98</v>
      </c>
      <c r="E53" s="11">
        <v>38.65</v>
      </c>
      <c r="F53">
        <f t="shared" si="0"/>
        <v>60</v>
      </c>
    </row>
    <row r="54" spans="1:6" ht="16.5">
      <c r="A54" s="13"/>
      <c r="B54">
        <f t="shared" si="1"/>
        <v>13</v>
      </c>
      <c r="C54" s="11">
        <v>19.29</v>
      </c>
      <c r="D54" s="11">
        <v>23.16</v>
      </c>
      <c r="E54" s="11">
        <v>17.55</v>
      </c>
      <c r="F54">
        <f t="shared" si="0"/>
        <v>60</v>
      </c>
    </row>
    <row r="55" spans="1:6" ht="16.5">
      <c r="A55" s="13"/>
      <c r="B55">
        <f t="shared" si="1"/>
        <v>14</v>
      </c>
      <c r="C55" s="11">
        <v>17.149999999999999</v>
      </c>
      <c r="D55" s="11">
        <v>4.3600000000000003</v>
      </c>
      <c r="E55" s="11">
        <v>38.49</v>
      </c>
      <c r="F55">
        <f t="shared" si="0"/>
        <v>60</v>
      </c>
    </row>
    <row r="56" spans="1:6" ht="16.5">
      <c r="A56" s="13"/>
      <c r="B56">
        <f t="shared" si="1"/>
        <v>15</v>
      </c>
      <c r="C56" s="11">
        <v>12.49</v>
      </c>
      <c r="D56" s="11">
        <v>21.57</v>
      </c>
      <c r="E56" s="11">
        <v>25.94</v>
      </c>
      <c r="F56">
        <f t="shared" si="0"/>
        <v>60</v>
      </c>
    </row>
    <row r="57" spans="1:6" ht="16.5">
      <c r="A57" s="13"/>
      <c r="B57">
        <f t="shared" si="1"/>
        <v>16</v>
      </c>
      <c r="C57" s="11">
        <v>38.159999999999997</v>
      </c>
      <c r="D57" s="11">
        <v>5.28</v>
      </c>
      <c r="E57" s="11">
        <v>16.559999999999999</v>
      </c>
      <c r="F57">
        <f t="shared" si="0"/>
        <v>60</v>
      </c>
    </row>
    <row r="58" spans="1:6" ht="16.5">
      <c r="A58" s="13"/>
      <c r="B58">
        <f t="shared" si="1"/>
        <v>17</v>
      </c>
      <c r="C58" s="11">
        <v>20.25</v>
      </c>
      <c r="D58" s="11">
        <v>6.26</v>
      </c>
      <c r="E58" s="11">
        <v>33.49</v>
      </c>
      <c r="F58">
        <f t="shared" si="0"/>
        <v>60</v>
      </c>
    </row>
    <row r="59" spans="1:6" ht="16.5">
      <c r="A59" s="13"/>
      <c r="B59">
        <f t="shared" si="1"/>
        <v>18</v>
      </c>
      <c r="C59" s="11">
        <v>31.78</v>
      </c>
      <c r="D59" s="11">
        <v>9.15</v>
      </c>
      <c r="E59" s="11">
        <v>19.07</v>
      </c>
      <c r="F59">
        <f t="shared" si="0"/>
        <v>60</v>
      </c>
    </row>
    <row r="60" spans="1:6" ht="16.5">
      <c r="A60" s="13"/>
      <c r="B60">
        <f t="shared" si="1"/>
        <v>19</v>
      </c>
      <c r="C60" s="11">
        <v>14.37</v>
      </c>
      <c r="D60" s="11">
        <v>33.33</v>
      </c>
      <c r="E60" s="11">
        <v>12.3</v>
      </c>
      <c r="F60">
        <f t="shared" si="0"/>
        <v>60</v>
      </c>
    </row>
    <row r="61" spans="1:6" ht="16.5">
      <c r="A61" s="13"/>
      <c r="B61">
        <f t="shared" si="1"/>
        <v>20</v>
      </c>
      <c r="C61" s="11">
        <v>37.89</v>
      </c>
      <c r="D61" s="11">
        <v>17.52</v>
      </c>
      <c r="E61" s="11">
        <v>4.59</v>
      </c>
      <c r="F61">
        <f t="shared" si="0"/>
        <v>60</v>
      </c>
    </row>
    <row r="62" spans="1:6" ht="18" customHeight="1">
      <c r="A62" s="4" t="s">
        <v>6</v>
      </c>
      <c r="B62" s="5" t="s">
        <v>7</v>
      </c>
      <c r="C62">
        <f>AVERAGE(C2:C61)</f>
        <v>21.287333333333333</v>
      </c>
      <c r="D62">
        <f t="shared" ref="D62:E62" si="2">AVERAGE(D2:D61)</f>
        <v>19.673999999999999</v>
      </c>
      <c r="E62">
        <f t="shared" si="2"/>
        <v>19.038666666666664</v>
      </c>
      <c r="F62" s="5" t="s">
        <v>7</v>
      </c>
    </row>
    <row r="63" spans="1:6" ht="18" customHeight="1">
      <c r="A63" s="4" t="s">
        <v>8</v>
      </c>
      <c r="B63" s="5" t="s">
        <v>7</v>
      </c>
      <c r="C63">
        <f>VAR(C2:C61)</f>
        <v>111.88301649717515</v>
      </c>
      <c r="D63">
        <f t="shared" ref="D63:E63" si="3">VAR(D2:D61)</f>
        <v>146.08965491525436</v>
      </c>
      <c r="E63">
        <f t="shared" si="3"/>
        <v>162.83363548022601</v>
      </c>
      <c r="F63" s="5" t="s">
        <v>7</v>
      </c>
    </row>
    <row r="65" ht="16.5"/>
  </sheetData>
  <sortState xmlns:xlrd2="http://schemas.microsoft.com/office/spreadsheetml/2017/richdata2" ref="H27:H31">
    <sortCondition ref="H27"/>
  </sortState>
  <mergeCells count="5">
    <mergeCell ref="A2:A11"/>
    <mergeCell ref="A12:A21"/>
    <mergeCell ref="A22:A31"/>
    <mergeCell ref="A32:A41"/>
    <mergeCell ref="A42:A61"/>
  </mergeCells>
  <phoneticPr fontId="2" type="noConversion"/>
  <pageMargins left="0.7" right="0.7" top="0.75" bottom="0.75" header="0.3" footer="0.3"/>
  <pageSetup paperSize="9" orientation="portrait" horizontalDpi="300" verticalDpi="300" r:id="rId1"/>
  <ignoredErrors>
    <ignoredError sqref="F2 F3:F61 C62:C63 D62:E6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D66D-FA6D-45F1-AF5A-A4BC1C8FC9D8}">
  <dimension ref="A1:F63"/>
  <sheetViews>
    <sheetView tabSelected="1" topLeftCell="A29" workbookViewId="0">
      <selection activeCell="D2" sqref="D2:F61"/>
    </sheetView>
  </sheetViews>
  <sheetFormatPr defaultRowHeight="16.5"/>
  <cols>
    <col min="2" max="2" width="22.765625" customWidth="1"/>
    <col min="6" max="6" width="11.07421875" customWidth="1"/>
  </cols>
  <sheetData>
    <row r="1" spans="1:6" ht="18.5" customHeight="1">
      <c r="A1" s="4" t="s">
        <v>17</v>
      </c>
      <c r="B1" s="10" t="s">
        <v>18</v>
      </c>
      <c r="C1">
        <v>1</v>
      </c>
      <c r="D1">
        <v>2</v>
      </c>
      <c r="E1">
        <v>3</v>
      </c>
      <c r="F1" s="4" t="s">
        <v>19</v>
      </c>
    </row>
    <row r="2" spans="1:6">
      <c r="A2" s="12" t="s">
        <v>0</v>
      </c>
      <c r="B2">
        <v>1</v>
      </c>
      <c r="C2" s="11">
        <v>60</v>
      </c>
      <c r="D2" s="11">
        <f>C2-Received!C2</f>
        <v>33.230000000000004</v>
      </c>
      <c r="E2" s="11">
        <f>D2-Received!D2</f>
        <v>6.5500000000000043</v>
      </c>
      <c r="F2" s="11">
        <f>E2-Received!E2</f>
        <v>0</v>
      </c>
    </row>
    <row r="3" spans="1:6">
      <c r="A3" s="13"/>
      <c r="B3">
        <v>2</v>
      </c>
      <c r="C3" s="11">
        <v>60</v>
      </c>
      <c r="D3" s="11">
        <f>C3-Received!C3</f>
        <v>22.990000000000002</v>
      </c>
      <c r="E3" s="11">
        <f>D3-Received!D3</f>
        <v>13.100000000000001</v>
      </c>
      <c r="F3" s="11">
        <f>E3-Received!E3</f>
        <v>0</v>
      </c>
    </row>
    <row r="4" spans="1:6">
      <c r="A4" s="13"/>
      <c r="B4">
        <v>3</v>
      </c>
      <c r="C4" s="11">
        <v>60</v>
      </c>
      <c r="D4" s="11">
        <f>C4-Received!C4</f>
        <v>40.17</v>
      </c>
      <c r="E4" s="11">
        <f>D4-Received!D4</f>
        <v>16.3</v>
      </c>
      <c r="F4" s="11">
        <f>E4-Received!E4</f>
        <v>0</v>
      </c>
    </row>
    <row r="5" spans="1:6">
      <c r="A5" s="13"/>
      <c r="B5">
        <v>4</v>
      </c>
      <c r="C5" s="11">
        <v>60</v>
      </c>
      <c r="D5" s="11">
        <f>C5-Received!C5</f>
        <v>30.12</v>
      </c>
      <c r="E5" s="11">
        <f>D5-Received!D5</f>
        <v>0.64000000000000057</v>
      </c>
      <c r="F5" s="11">
        <f>E5-Received!E5</f>
        <v>0</v>
      </c>
    </row>
    <row r="6" spans="1:6">
      <c r="A6" s="13"/>
      <c r="B6">
        <v>5</v>
      </c>
      <c r="C6" s="11">
        <v>60</v>
      </c>
      <c r="D6" s="11">
        <f>C6-Received!C6</f>
        <v>38.700000000000003</v>
      </c>
      <c r="E6" s="11">
        <f>D6-Received!D6</f>
        <v>26.490000000000002</v>
      </c>
      <c r="F6" s="11">
        <f>E6-Received!E6</f>
        <v>0</v>
      </c>
    </row>
    <row r="7" spans="1:6">
      <c r="A7" s="13"/>
      <c r="B7">
        <v>6</v>
      </c>
      <c r="C7" s="11">
        <v>60</v>
      </c>
      <c r="D7" s="11">
        <f>C7-Received!C7</f>
        <v>37.65</v>
      </c>
      <c r="E7" s="11">
        <f>D7-Received!D7</f>
        <v>9.0499999999999972</v>
      </c>
      <c r="F7" s="11">
        <f>E7-Received!E7</f>
        <v>0</v>
      </c>
    </row>
    <row r="8" spans="1:6">
      <c r="A8" s="13"/>
      <c r="B8">
        <v>7</v>
      </c>
      <c r="C8" s="11">
        <v>60</v>
      </c>
      <c r="D8" s="11">
        <f>C8-Received!C8</f>
        <v>52.83</v>
      </c>
      <c r="E8" s="11">
        <f>D8-Received!D8</f>
        <v>5.5599999999999952</v>
      </c>
      <c r="F8" s="11">
        <f>E8-Received!E8</f>
        <v>0</v>
      </c>
    </row>
    <row r="9" spans="1:6">
      <c r="A9" s="13"/>
      <c r="B9">
        <v>8</v>
      </c>
      <c r="C9" s="11">
        <v>60</v>
      </c>
      <c r="D9" s="11">
        <f>C9-Received!C9</f>
        <v>31.23</v>
      </c>
      <c r="E9" s="11">
        <f>D9-Received!D9</f>
        <v>6.8500000000000014</v>
      </c>
      <c r="F9" s="11">
        <f>E9-Received!E9</f>
        <v>0</v>
      </c>
    </row>
    <row r="10" spans="1:6">
      <c r="A10" s="13"/>
      <c r="B10">
        <v>9</v>
      </c>
      <c r="C10" s="11">
        <v>60</v>
      </c>
      <c r="D10" s="11">
        <f>C10-Received!C10</f>
        <v>49.66</v>
      </c>
      <c r="E10" s="11">
        <f>D10-Received!D10</f>
        <v>18.659999999999997</v>
      </c>
      <c r="F10" s="11">
        <f>E10-Received!E10</f>
        <v>0</v>
      </c>
    </row>
    <row r="11" spans="1:6">
      <c r="A11" s="13"/>
      <c r="B11">
        <v>10</v>
      </c>
      <c r="C11" s="11">
        <v>60</v>
      </c>
      <c r="D11" s="11">
        <f>C11-Received!C11</f>
        <v>20.119999999999997</v>
      </c>
      <c r="E11" s="11">
        <f>D11-Received!D11</f>
        <v>14.289999999999997</v>
      </c>
      <c r="F11" s="11">
        <f>E11-Received!E11</f>
        <v>0</v>
      </c>
    </row>
    <row r="12" spans="1:6">
      <c r="A12" s="14" t="s">
        <v>3</v>
      </c>
      <c r="B12">
        <v>1</v>
      </c>
      <c r="C12" s="11">
        <v>60</v>
      </c>
      <c r="D12" s="11">
        <f>C12-Received!C12</f>
        <v>21.15</v>
      </c>
      <c r="E12" s="11">
        <f>D12-Received!D12</f>
        <v>3.759999999999998</v>
      </c>
      <c r="F12" s="11">
        <f>E12-Received!E12</f>
        <v>0</v>
      </c>
    </row>
    <row r="13" spans="1:6">
      <c r="A13" s="13"/>
      <c r="B13">
        <v>2</v>
      </c>
      <c r="C13" s="11">
        <v>60</v>
      </c>
      <c r="D13" s="11">
        <f>C13-Received!C13</f>
        <v>35.29</v>
      </c>
      <c r="E13" s="11">
        <f>D13-Received!D13</f>
        <v>4.8499999999999979</v>
      </c>
      <c r="F13" s="11">
        <f>E13-Received!E13</f>
        <v>0</v>
      </c>
    </row>
    <row r="14" spans="1:6">
      <c r="A14" s="13"/>
      <c r="B14">
        <v>3</v>
      </c>
      <c r="C14" s="11">
        <v>60</v>
      </c>
      <c r="D14" s="11">
        <f>C14-Received!C14</f>
        <v>50.89</v>
      </c>
      <c r="E14" s="11">
        <f>D14-Received!D14</f>
        <v>25.23</v>
      </c>
      <c r="F14" s="11">
        <f>E14-Received!E14</f>
        <v>0</v>
      </c>
    </row>
    <row r="15" spans="1:6">
      <c r="A15" s="13"/>
      <c r="B15">
        <v>4</v>
      </c>
      <c r="C15" s="11">
        <v>60</v>
      </c>
      <c r="D15" s="11">
        <f>C15-Received!C15</f>
        <v>46.07</v>
      </c>
      <c r="E15" s="11">
        <f>D15-Received!D15</f>
        <v>1.8599999999999994</v>
      </c>
      <c r="F15" s="11">
        <f>E15-Received!E15</f>
        <v>0</v>
      </c>
    </row>
    <row r="16" spans="1:6">
      <c r="A16" s="13"/>
      <c r="B16">
        <v>5</v>
      </c>
      <c r="C16" s="11">
        <v>60</v>
      </c>
      <c r="D16" s="11">
        <f>C16-Received!C16</f>
        <v>34.230000000000004</v>
      </c>
      <c r="E16" s="11">
        <f>D16-Received!D16</f>
        <v>32.520000000000003</v>
      </c>
      <c r="F16" s="11">
        <f>E16-Received!E16</f>
        <v>0</v>
      </c>
    </row>
    <row r="17" spans="1:6">
      <c r="A17" s="13"/>
      <c r="B17">
        <v>6</v>
      </c>
      <c r="C17" s="11">
        <v>60</v>
      </c>
      <c r="D17" s="11">
        <f>C17-Received!C17</f>
        <v>40.78</v>
      </c>
      <c r="E17" s="11">
        <f>D17-Received!D17</f>
        <v>10.39</v>
      </c>
      <c r="F17" s="11">
        <f>E17-Received!E17</f>
        <v>0</v>
      </c>
    </row>
    <row r="18" spans="1:6">
      <c r="A18" s="13"/>
      <c r="B18">
        <v>7</v>
      </c>
      <c r="C18" s="11">
        <v>60</v>
      </c>
      <c r="D18" s="11">
        <f>C18-Received!C18</f>
        <v>38.96</v>
      </c>
      <c r="E18" s="11">
        <f>D18-Received!D18</f>
        <v>35.200000000000003</v>
      </c>
      <c r="F18" s="11">
        <f>E18-Received!E18</f>
        <v>0</v>
      </c>
    </row>
    <row r="19" spans="1:6">
      <c r="A19" s="13"/>
      <c r="B19">
        <v>8</v>
      </c>
      <c r="C19" s="11">
        <v>60</v>
      </c>
      <c r="D19" s="11">
        <f>C19-Received!C19</f>
        <v>23.86</v>
      </c>
      <c r="E19" s="11">
        <f>D19-Received!D19</f>
        <v>4.6099999999999994</v>
      </c>
      <c r="F19" s="11">
        <f>E19-Received!E19</f>
        <v>0</v>
      </c>
    </row>
    <row r="20" spans="1:6">
      <c r="A20" s="13"/>
      <c r="B20">
        <v>9</v>
      </c>
      <c r="C20" s="11">
        <v>60</v>
      </c>
      <c r="D20" s="11">
        <f>C20-Received!C20</f>
        <v>21.18</v>
      </c>
      <c r="E20" s="11">
        <f>D20-Received!D20</f>
        <v>3.7699999999999996</v>
      </c>
      <c r="F20" s="11">
        <f>E20-Received!E20</f>
        <v>0</v>
      </c>
    </row>
    <row r="21" spans="1:6">
      <c r="A21" s="13"/>
      <c r="B21">
        <v>10</v>
      </c>
      <c r="C21" s="11">
        <v>60</v>
      </c>
      <c r="D21" s="11">
        <f>C21-Received!C21</f>
        <v>41.629999999999995</v>
      </c>
      <c r="E21" s="11">
        <f>D21-Received!D21</f>
        <v>26.659999999999997</v>
      </c>
      <c r="F21" s="11">
        <f>E21-Received!E21</f>
        <v>0</v>
      </c>
    </row>
    <row r="22" spans="1:6">
      <c r="A22" s="12" t="s">
        <v>0</v>
      </c>
      <c r="B22">
        <v>1</v>
      </c>
      <c r="C22" s="11">
        <v>60</v>
      </c>
      <c r="D22" s="11">
        <f>C22-Received!C22</f>
        <v>41.78</v>
      </c>
      <c r="E22" s="11">
        <f>D22-Received!D22</f>
        <v>32.090000000000003</v>
      </c>
      <c r="F22" s="11">
        <f>E22-Received!E22</f>
        <v>0</v>
      </c>
    </row>
    <row r="23" spans="1:6">
      <c r="A23" s="13"/>
      <c r="B23">
        <v>2</v>
      </c>
      <c r="C23" s="11">
        <v>60</v>
      </c>
      <c r="D23" s="11">
        <f>C23-Received!C23</f>
        <v>51.22</v>
      </c>
      <c r="E23" s="11">
        <f>D23-Received!D23</f>
        <v>16.100000000000001</v>
      </c>
      <c r="F23" s="11">
        <f>E23-Received!E23</f>
        <v>0</v>
      </c>
    </row>
    <row r="24" spans="1:6">
      <c r="A24" s="13"/>
      <c r="B24">
        <v>3</v>
      </c>
      <c r="C24" s="11">
        <v>60</v>
      </c>
      <c r="D24" s="11">
        <f>C24-Received!C24</f>
        <v>45.85</v>
      </c>
      <c r="E24" s="11">
        <f>D24-Received!D24</f>
        <v>42.870000000000005</v>
      </c>
      <c r="F24" s="11">
        <f>E24-Received!E24</f>
        <v>0</v>
      </c>
    </row>
    <row r="25" spans="1:6">
      <c r="A25" s="13"/>
      <c r="B25">
        <v>4</v>
      </c>
      <c r="C25" s="11">
        <v>60</v>
      </c>
      <c r="D25" s="11">
        <f>C25-Received!C25</f>
        <v>30.46</v>
      </c>
      <c r="E25" s="11">
        <f>D25-Received!D25</f>
        <v>16.25</v>
      </c>
      <c r="F25" s="11">
        <f>E25-Received!E25</f>
        <v>0</v>
      </c>
    </row>
    <row r="26" spans="1:6">
      <c r="A26" s="13"/>
      <c r="B26">
        <v>5</v>
      </c>
      <c r="C26" s="11">
        <v>60</v>
      </c>
      <c r="D26" s="11">
        <f>C26-Received!C26</f>
        <v>37.79</v>
      </c>
      <c r="E26" s="11">
        <f>D26-Received!D26</f>
        <v>22.39</v>
      </c>
      <c r="F26" s="11">
        <f>E26-Received!E26</f>
        <v>0</v>
      </c>
    </row>
    <row r="27" spans="1:6">
      <c r="A27" s="13"/>
      <c r="B27">
        <v>6</v>
      </c>
      <c r="C27" s="11">
        <v>60</v>
      </c>
      <c r="D27" s="11">
        <f>C27-Received!C27</f>
        <v>38.03</v>
      </c>
      <c r="E27" s="11">
        <f>D27-Received!D27</f>
        <v>33.130000000000003</v>
      </c>
      <c r="F27" s="11">
        <f>E27-Received!E27</f>
        <v>0</v>
      </c>
    </row>
    <row r="28" spans="1:6">
      <c r="A28" s="13"/>
      <c r="B28">
        <v>7</v>
      </c>
      <c r="C28" s="11">
        <v>60</v>
      </c>
      <c r="D28" s="11">
        <f>C28-Received!C28</f>
        <v>46.36</v>
      </c>
      <c r="E28" s="11">
        <f>D28-Received!D28</f>
        <v>32.200000000000003</v>
      </c>
      <c r="F28" s="11">
        <f>E28-Received!E28</f>
        <v>0</v>
      </c>
    </row>
    <row r="29" spans="1:6">
      <c r="A29" s="13"/>
      <c r="B29">
        <v>8</v>
      </c>
      <c r="C29" s="11">
        <v>60</v>
      </c>
      <c r="D29" s="11">
        <f>C29-Received!C29</f>
        <v>51.63</v>
      </c>
      <c r="E29" s="11">
        <f>D29-Received!D29</f>
        <v>15.150000000000006</v>
      </c>
      <c r="F29" s="11">
        <f>E29-Received!E29</f>
        <v>0</v>
      </c>
    </row>
    <row r="30" spans="1:6">
      <c r="A30" s="13"/>
      <c r="B30">
        <v>9</v>
      </c>
      <c r="C30" s="11">
        <v>60</v>
      </c>
      <c r="D30" s="11">
        <f>C30-Received!C30</f>
        <v>57.38</v>
      </c>
      <c r="E30" s="11">
        <f>D30-Received!D30</f>
        <v>19.050000000000004</v>
      </c>
      <c r="F30" s="11">
        <f>E30-Received!E30</f>
        <v>0</v>
      </c>
    </row>
    <row r="31" spans="1:6">
      <c r="A31" s="13"/>
      <c r="B31">
        <v>10</v>
      </c>
      <c r="C31" s="11">
        <v>60</v>
      </c>
      <c r="D31" s="11">
        <f>C31-Received!C31</f>
        <v>23.340000000000003</v>
      </c>
      <c r="E31" s="11">
        <f>D31-Received!D31</f>
        <v>17.220000000000002</v>
      </c>
      <c r="F31" s="11">
        <f>E31-Received!E31</f>
        <v>0</v>
      </c>
    </row>
    <row r="32" spans="1:6">
      <c r="A32" s="12" t="s">
        <v>3</v>
      </c>
      <c r="B32">
        <v>1</v>
      </c>
      <c r="C32" s="11">
        <v>60</v>
      </c>
      <c r="D32" s="11">
        <f>C32-Received!C32</f>
        <v>44.480000000000004</v>
      </c>
      <c r="E32" s="11">
        <f>D32-Received!D32</f>
        <v>26.730000000000004</v>
      </c>
      <c r="F32" s="11">
        <f>E32-Received!E32</f>
        <v>0</v>
      </c>
    </row>
    <row r="33" spans="1:6">
      <c r="A33" s="13"/>
      <c r="B33">
        <v>2</v>
      </c>
      <c r="C33" s="11">
        <v>60</v>
      </c>
      <c r="D33" s="11">
        <f>C33-Received!C33</f>
        <v>29.51</v>
      </c>
      <c r="E33" s="11">
        <f>D33-Received!D33</f>
        <v>12.82</v>
      </c>
      <c r="F33" s="11">
        <f>E33-Received!E33</f>
        <v>0</v>
      </c>
    </row>
    <row r="34" spans="1:6">
      <c r="A34" s="13"/>
      <c r="B34">
        <v>3</v>
      </c>
      <c r="C34" s="11">
        <v>60</v>
      </c>
      <c r="D34" s="11">
        <f>C34-Received!C34</f>
        <v>40.17</v>
      </c>
      <c r="E34" s="11">
        <f>D34-Received!D34</f>
        <v>23.85</v>
      </c>
      <c r="F34" s="11">
        <f>E34-Received!E34</f>
        <v>0</v>
      </c>
    </row>
    <row r="35" spans="1:6">
      <c r="A35" s="13"/>
      <c r="B35">
        <v>4</v>
      </c>
      <c r="C35" s="11">
        <v>60</v>
      </c>
      <c r="D35" s="11">
        <f>C35-Received!C35</f>
        <v>51.63</v>
      </c>
      <c r="E35" s="11">
        <f>D35-Received!D35</f>
        <v>49.050000000000004</v>
      </c>
      <c r="F35" s="11">
        <f>E35-Received!E35</f>
        <v>0</v>
      </c>
    </row>
    <row r="36" spans="1:6">
      <c r="A36" s="13"/>
      <c r="B36">
        <v>5</v>
      </c>
      <c r="C36" s="11">
        <v>60</v>
      </c>
      <c r="D36" s="11">
        <f>C36-Received!C36</f>
        <v>53.25</v>
      </c>
      <c r="E36" s="11">
        <f>D36-Received!D36</f>
        <v>0.14999999999999858</v>
      </c>
      <c r="F36" s="11">
        <f>E36-Received!E36</f>
        <v>-1.4155343563970746E-15</v>
      </c>
    </row>
    <row r="37" spans="1:6">
      <c r="A37" s="13"/>
      <c r="B37">
        <v>6</v>
      </c>
      <c r="C37" s="11">
        <v>60</v>
      </c>
      <c r="D37" s="11">
        <f>C37-Received!C37</f>
        <v>33.93</v>
      </c>
      <c r="E37" s="11">
        <f>D37-Received!D37</f>
        <v>10.82</v>
      </c>
      <c r="F37" s="11">
        <f>E37-Received!E37</f>
        <v>0</v>
      </c>
    </row>
    <row r="38" spans="1:6">
      <c r="A38" s="13"/>
      <c r="B38">
        <v>7</v>
      </c>
      <c r="C38" s="11">
        <v>60</v>
      </c>
      <c r="D38" s="11">
        <f>C38-Received!C38</f>
        <v>25.68</v>
      </c>
      <c r="E38" s="11">
        <f>D38-Received!D38</f>
        <v>13.28</v>
      </c>
      <c r="F38" s="11">
        <f>E38-Received!E38</f>
        <v>0</v>
      </c>
    </row>
    <row r="39" spans="1:6">
      <c r="A39" s="13"/>
      <c r="B39">
        <v>8</v>
      </c>
      <c r="C39" s="11">
        <v>60</v>
      </c>
      <c r="D39" s="11">
        <f>C39-Received!C39</f>
        <v>30.16</v>
      </c>
      <c r="E39" s="11">
        <f>D39-Received!D39</f>
        <v>9.07</v>
      </c>
      <c r="F39" s="11">
        <f>E39-Received!E39</f>
        <v>0</v>
      </c>
    </row>
    <row r="40" spans="1:6">
      <c r="A40" s="13"/>
      <c r="B40">
        <v>9</v>
      </c>
      <c r="C40" s="11">
        <v>60</v>
      </c>
      <c r="D40" s="11">
        <f>C40-Received!C40</f>
        <v>34.04</v>
      </c>
      <c r="E40" s="11">
        <f>D40-Received!D40</f>
        <v>17.59</v>
      </c>
      <c r="F40" s="11">
        <f>E40-Received!E40</f>
        <v>0</v>
      </c>
    </row>
    <row r="41" spans="1:6">
      <c r="A41" s="13"/>
      <c r="B41">
        <v>10</v>
      </c>
      <c r="C41" s="11">
        <v>60</v>
      </c>
      <c r="D41" s="11">
        <f>C41-Received!C41</f>
        <v>34.93</v>
      </c>
      <c r="E41" s="11">
        <f>D41-Received!D41</f>
        <v>15.329999999999998</v>
      </c>
      <c r="F41" s="11">
        <f>E41-Received!E41</f>
        <v>0</v>
      </c>
    </row>
    <row r="42" spans="1:6">
      <c r="A42" s="12" t="s">
        <v>4</v>
      </c>
      <c r="B42">
        <v>1</v>
      </c>
      <c r="C42" s="11">
        <v>60</v>
      </c>
      <c r="D42" s="11">
        <f>C42-Received!C42</f>
        <v>52.05</v>
      </c>
      <c r="E42" s="11">
        <f>D42-Received!D42</f>
        <v>35.64</v>
      </c>
      <c r="F42" s="11">
        <f>E42-Received!E42</f>
        <v>0</v>
      </c>
    </row>
    <row r="43" spans="1:6">
      <c r="A43" s="13"/>
      <c r="B43">
        <v>2</v>
      </c>
      <c r="C43" s="11">
        <v>60</v>
      </c>
      <c r="D43" s="11">
        <f>C43-Received!C43</f>
        <v>26.21</v>
      </c>
      <c r="E43" s="11">
        <f>D43-Received!D43</f>
        <v>3.8000000000000007</v>
      </c>
      <c r="F43" s="11">
        <f>E43-Received!E43</f>
        <v>0</v>
      </c>
    </row>
    <row r="44" spans="1:6">
      <c r="A44" s="13"/>
      <c r="B44">
        <v>3</v>
      </c>
      <c r="C44" s="11">
        <v>60</v>
      </c>
      <c r="D44" s="11">
        <f>C44-Received!C44</f>
        <v>48.29</v>
      </c>
      <c r="E44" s="11">
        <f>D44-Received!D44</f>
        <v>15.649999999999999</v>
      </c>
      <c r="F44" s="11">
        <f>E44-Received!E44</f>
        <v>0</v>
      </c>
    </row>
    <row r="45" spans="1:6">
      <c r="A45" s="13"/>
      <c r="B45">
        <v>4</v>
      </c>
      <c r="C45" s="11">
        <v>60</v>
      </c>
      <c r="D45" s="11">
        <f>C45-Received!C45</f>
        <v>57.32</v>
      </c>
      <c r="E45" s="11">
        <f>D45-Received!D45</f>
        <v>18.369999999999997</v>
      </c>
      <c r="F45" s="11">
        <f>E45-Received!E45</f>
        <v>0</v>
      </c>
    </row>
    <row r="46" spans="1:6">
      <c r="A46" s="13"/>
      <c r="B46">
        <v>5</v>
      </c>
      <c r="C46" s="11">
        <v>60</v>
      </c>
      <c r="D46" s="11">
        <f>C46-Received!C46</f>
        <v>26.93</v>
      </c>
      <c r="E46" s="11">
        <f>D46-Received!D46</f>
        <v>19.54</v>
      </c>
      <c r="F46" s="11">
        <f>E46-Received!E46</f>
        <v>0</v>
      </c>
    </row>
    <row r="47" spans="1:6">
      <c r="A47" s="13"/>
      <c r="B47">
        <v>6</v>
      </c>
      <c r="C47" s="11">
        <v>60</v>
      </c>
      <c r="D47" s="11">
        <f>C47-Received!C47</f>
        <v>39.489999999999995</v>
      </c>
      <c r="E47" s="11">
        <f>D47-Received!D47</f>
        <v>7.9699999999999953</v>
      </c>
      <c r="F47" s="11">
        <f>E47-Received!E47</f>
        <v>0</v>
      </c>
    </row>
    <row r="48" spans="1:6">
      <c r="A48" s="13"/>
      <c r="B48">
        <v>7</v>
      </c>
      <c r="C48" s="11">
        <v>60</v>
      </c>
      <c r="D48" s="11">
        <f>C48-Received!C48</f>
        <v>40.21</v>
      </c>
      <c r="E48" s="11">
        <f>D48-Received!D48</f>
        <v>11.880000000000003</v>
      </c>
      <c r="F48" s="11">
        <f>E48-Received!E48</f>
        <v>0</v>
      </c>
    </row>
    <row r="49" spans="1:6">
      <c r="A49" s="13"/>
      <c r="B49">
        <v>8</v>
      </c>
      <c r="C49" s="11">
        <v>60</v>
      </c>
      <c r="D49" s="11">
        <f>C49-Received!C49</f>
        <v>53.71</v>
      </c>
      <c r="E49" s="11">
        <f>D49-Received!D49</f>
        <v>37.200000000000003</v>
      </c>
      <c r="F49" s="11">
        <f>E49-Received!E49</f>
        <v>0</v>
      </c>
    </row>
    <row r="50" spans="1:6">
      <c r="A50" s="13"/>
      <c r="B50">
        <v>9</v>
      </c>
      <c r="C50" s="11">
        <v>60</v>
      </c>
      <c r="D50" s="11">
        <f>C50-Received!C50</f>
        <v>43.8</v>
      </c>
      <c r="E50" s="11">
        <f>D50-Received!D50</f>
        <v>38.019999999999996</v>
      </c>
      <c r="F50" s="11">
        <f>E50-Received!E50</f>
        <v>0</v>
      </c>
    </row>
    <row r="51" spans="1:6">
      <c r="A51" s="13"/>
      <c r="B51">
        <v>10</v>
      </c>
      <c r="C51" s="11">
        <v>60</v>
      </c>
      <c r="D51" s="11">
        <f>C51-Received!C51</f>
        <v>58</v>
      </c>
      <c r="E51" s="11">
        <f>D51-Received!D51</f>
        <v>52.53</v>
      </c>
      <c r="F51" s="11">
        <f>E51-Received!E51</f>
        <v>0</v>
      </c>
    </row>
    <row r="52" spans="1:6">
      <c r="A52" s="13"/>
      <c r="B52">
        <f t="shared" ref="B52:B61" si="0">B42+10</f>
        <v>11</v>
      </c>
      <c r="C52" s="11">
        <v>60</v>
      </c>
      <c r="D52" s="11">
        <f>C52-Received!C52</f>
        <v>28.14</v>
      </c>
      <c r="E52" s="11">
        <f>D52-Received!D52</f>
        <v>3.6000000000000014</v>
      </c>
      <c r="F52" s="11">
        <f>E52-Received!E52</f>
        <v>0</v>
      </c>
    </row>
    <row r="53" spans="1:6">
      <c r="A53" s="13"/>
      <c r="B53">
        <f t="shared" si="0"/>
        <v>12</v>
      </c>
      <c r="C53" s="11">
        <v>60</v>
      </c>
      <c r="D53" s="11">
        <f>C53-Received!C53</f>
        <v>47.63</v>
      </c>
      <c r="E53" s="11">
        <f>D53-Received!D53</f>
        <v>38.650000000000006</v>
      </c>
      <c r="F53" s="11">
        <f>E53-Received!E53</f>
        <v>0</v>
      </c>
    </row>
    <row r="54" spans="1:6">
      <c r="A54" s="13"/>
      <c r="B54">
        <f t="shared" si="0"/>
        <v>13</v>
      </c>
      <c r="C54" s="11">
        <v>60</v>
      </c>
      <c r="D54" s="11">
        <f>C54-Received!C54</f>
        <v>40.71</v>
      </c>
      <c r="E54" s="11">
        <f>D54-Received!D54</f>
        <v>17.55</v>
      </c>
      <c r="F54" s="11">
        <f>E54-Received!E54</f>
        <v>0</v>
      </c>
    </row>
    <row r="55" spans="1:6">
      <c r="A55" s="13"/>
      <c r="B55">
        <f t="shared" si="0"/>
        <v>14</v>
      </c>
      <c r="C55" s="11">
        <v>60</v>
      </c>
      <c r="D55" s="11">
        <f>C55-Received!C55</f>
        <v>42.85</v>
      </c>
      <c r="E55" s="11">
        <f>D55-Received!D55</f>
        <v>38.49</v>
      </c>
      <c r="F55" s="11">
        <f>E55-Received!E55</f>
        <v>0</v>
      </c>
    </row>
    <row r="56" spans="1:6">
      <c r="A56" s="13"/>
      <c r="B56">
        <f t="shared" si="0"/>
        <v>15</v>
      </c>
      <c r="C56" s="11">
        <v>60</v>
      </c>
      <c r="D56" s="11">
        <f>C56-Received!C56</f>
        <v>47.51</v>
      </c>
      <c r="E56" s="11">
        <f>D56-Received!D56</f>
        <v>25.939999999999998</v>
      </c>
      <c r="F56" s="11">
        <f>E56-Received!E56</f>
        <v>0</v>
      </c>
    </row>
    <row r="57" spans="1:6">
      <c r="A57" s="13"/>
      <c r="B57">
        <f t="shared" si="0"/>
        <v>16</v>
      </c>
      <c r="C57" s="11">
        <v>60</v>
      </c>
      <c r="D57" s="11">
        <f>C57-Received!C57</f>
        <v>21.840000000000003</v>
      </c>
      <c r="E57" s="11">
        <f>D57-Received!D57</f>
        <v>16.560000000000002</v>
      </c>
      <c r="F57" s="11">
        <f>E57-Received!E57</f>
        <v>0</v>
      </c>
    </row>
    <row r="58" spans="1:6">
      <c r="A58" s="13"/>
      <c r="B58">
        <f t="shared" si="0"/>
        <v>17</v>
      </c>
      <c r="C58" s="11">
        <v>60</v>
      </c>
      <c r="D58" s="11">
        <f>C58-Received!C58</f>
        <v>39.75</v>
      </c>
      <c r="E58" s="11">
        <f>D58-Received!D58</f>
        <v>33.49</v>
      </c>
      <c r="F58" s="11">
        <f>E58-Received!E58</f>
        <v>0</v>
      </c>
    </row>
    <row r="59" spans="1:6">
      <c r="A59" s="13"/>
      <c r="B59">
        <f t="shared" si="0"/>
        <v>18</v>
      </c>
      <c r="C59" s="11">
        <v>60</v>
      </c>
      <c r="D59" s="11">
        <f>C59-Received!C59</f>
        <v>28.22</v>
      </c>
      <c r="E59" s="11">
        <f>D59-Received!D59</f>
        <v>19.07</v>
      </c>
      <c r="F59" s="11">
        <f>E59-Received!E59</f>
        <v>0</v>
      </c>
    </row>
    <row r="60" spans="1:6">
      <c r="A60" s="13"/>
      <c r="B60">
        <f t="shared" si="0"/>
        <v>19</v>
      </c>
      <c r="C60" s="11">
        <v>60</v>
      </c>
      <c r="D60" s="11">
        <f>C60-Received!C60</f>
        <v>45.63</v>
      </c>
      <c r="E60" s="11">
        <f>D60-Received!D60</f>
        <v>12.300000000000004</v>
      </c>
      <c r="F60" s="11">
        <f>E60-Received!E60</f>
        <v>0</v>
      </c>
    </row>
    <row r="61" spans="1:6">
      <c r="A61" s="13"/>
      <c r="B61">
        <f t="shared" si="0"/>
        <v>20</v>
      </c>
      <c r="C61" s="11">
        <v>60</v>
      </c>
      <c r="D61" s="11">
        <f>C61-Received!C61</f>
        <v>22.11</v>
      </c>
      <c r="E61" s="11">
        <f>D61-Received!D61</f>
        <v>4.59</v>
      </c>
      <c r="F61" s="11">
        <f>E61-Received!E61</f>
        <v>0</v>
      </c>
    </row>
    <row r="62" spans="1:6">
      <c r="A62" s="4"/>
      <c r="B62" s="5"/>
      <c r="F62" s="5"/>
    </row>
    <row r="63" spans="1:6">
      <c r="A63" s="4"/>
      <c r="B63" s="5"/>
      <c r="F63" s="5"/>
    </row>
  </sheetData>
  <mergeCells count="5">
    <mergeCell ref="A2:A11"/>
    <mergeCell ref="A12:A21"/>
    <mergeCell ref="A22:A31"/>
    <mergeCell ref="A32:A41"/>
    <mergeCell ref="A42:A6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Received</vt:lpstr>
      <vt:lpstr>TotalLeft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2087938375@qq.com</cp:lastModifiedBy>
  <dcterms:created xsi:type="dcterms:W3CDTF">2026-01-15T19:35:42Z</dcterms:created>
  <dcterms:modified xsi:type="dcterms:W3CDTF">2026-01-16T06:30:08Z</dcterms:modified>
</cp:coreProperties>
</file>