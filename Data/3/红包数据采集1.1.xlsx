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"/>
    </mc:Choice>
  </mc:AlternateContent>
  <xr:revisionPtr revIDLastSave="0" documentId="13_ncr:1_{E63F635C-8D05-4574-95D7-E8C1F1FA5392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红包收入" sheetId="1" r:id="rId1"/>
    <sheet name="红包数据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2" l="1"/>
  <c r="E63" i="2"/>
  <c r="D62" i="2"/>
  <c r="E62" i="2"/>
  <c r="C62" i="2"/>
  <c r="C6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2" i="2"/>
  <c r="B61" i="2"/>
  <c r="B60" i="2"/>
  <c r="B59" i="2"/>
  <c r="B58" i="2"/>
  <c r="B57" i="2"/>
  <c r="B56" i="2"/>
  <c r="B55" i="2"/>
  <c r="B54" i="2"/>
  <c r="B53" i="2"/>
  <c r="B52" i="2"/>
  <c r="D5" i="1"/>
  <c r="C5" i="1"/>
  <c r="B5" i="1"/>
  <c r="D4" i="1"/>
  <c r="D3" i="1"/>
  <c r="D2" i="1"/>
</calcChain>
</file>

<file path=xl/sharedStrings.xml><?xml version="1.0" encoding="utf-8"?>
<sst xmlns="http://schemas.openxmlformats.org/spreadsheetml/2006/main" count="45" uniqueCount="23">
  <si>
    <t>昵称</t>
  </si>
  <si>
    <t>红包总收入</t>
  </si>
  <si>
    <t>红包总支出</t>
  </si>
  <si>
    <t>补偿数额</t>
  </si>
  <si>
    <t>钱磊</t>
  </si>
  <si>
    <t>zzh</t>
  </si>
  <si>
    <t>xjq</t>
  </si>
  <si>
    <t>发送者</t>
  </si>
  <si>
    <t>红包编号\名次</t>
  </si>
  <si>
    <t>徐景骐</t>
  </si>
  <si>
    <t>张子豪</t>
  </si>
  <si>
    <t>总计</t>
    <phoneticPr fontId="2" type="noConversion"/>
  </si>
  <si>
    <t>均值</t>
    <phoneticPr fontId="2" type="noConversion"/>
  </si>
  <si>
    <t>/</t>
    <phoneticPr fontId="2" type="noConversion"/>
  </si>
  <si>
    <t>方差</t>
    <phoneticPr fontId="2" type="noConversion"/>
  </si>
  <si>
    <t>[10.01,20.00]</t>
    <phoneticPr fontId="2" type="noConversion"/>
  </si>
  <si>
    <t>[20.01,30.01]</t>
    <phoneticPr fontId="2" type="noConversion"/>
  </si>
  <si>
    <t>[00.01,10.00]</t>
    <phoneticPr fontId="2" type="noConversion"/>
  </si>
  <si>
    <t>[30.01,40.00]</t>
    <phoneticPr fontId="2" type="noConversion"/>
  </si>
  <si>
    <t>[40.01,50.00]</t>
    <phoneticPr fontId="2" type="noConversion"/>
  </si>
  <si>
    <t>[50.01,60.00]</t>
    <phoneticPr fontId="2" type="noConversion"/>
  </si>
  <si>
    <t>Interval</t>
    <phoneticPr fontId="2" type="noConversion"/>
  </si>
  <si>
    <t>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</si>
</sst>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1st Received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红包数据统计!$H$5:$H$10</c:f>
              <c:strCache>
                <c:ptCount val="6"/>
                <c:pt idx="0">
                  <c:v>[00.01,10.00]</c:v>
                </c:pt>
                <c:pt idx="1">
                  <c:v>[10.01,20.00]</c:v>
                </c:pt>
                <c:pt idx="2">
                  <c:v>[20.01,30.01]</c:v>
                </c:pt>
                <c:pt idx="3">
                  <c:v>[30.01,40.00]</c:v>
                </c:pt>
                <c:pt idx="4">
                  <c:v>[40.01,50.00]</c:v>
                </c:pt>
                <c:pt idx="5">
                  <c:v>[50.01,60.00]</c:v>
                </c:pt>
              </c:strCache>
            </c:strRef>
          </c:cat>
          <c:val>
            <c:numRef>
              <c:f>红包数据统计!$I$5:$I$10</c:f>
              <c:numCache>
                <c:formatCode>General</c:formatCode>
                <c:ptCount val="6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D-49D1-BD7A-2377AABA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94475760"/>
        <c:axId val="1694475280"/>
      </c:barChart>
      <c:catAx>
        <c:axId val="16944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4475280"/>
        <c:crosses val="autoZero"/>
        <c:auto val="1"/>
        <c:lblAlgn val="ctr"/>
        <c:lblOffset val="100"/>
        <c:noMultiLvlLbl val="0"/>
      </c:catAx>
      <c:valAx>
        <c:axId val="1694475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Count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475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800" b="1" i="0" u="none" strike="noStrike" kern="1200" baseline="0">
                <a:solidFill>
                  <a:sysClr val="windowText" lastClr="000000"/>
                </a:solidFill>
              </a:rPr>
              <a:t>2nd Received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红包数据统计!$H$16:$H$21</c:f>
              <c:strCache>
                <c:ptCount val="6"/>
                <c:pt idx="0">
                  <c:v>[00.01,10.00]</c:v>
                </c:pt>
                <c:pt idx="1">
                  <c:v>[10.01,20.00]</c:v>
                </c:pt>
                <c:pt idx="2">
                  <c:v>[20.01,30.01]</c:v>
                </c:pt>
                <c:pt idx="3">
                  <c:v>[30.01,40.00]</c:v>
                </c:pt>
                <c:pt idx="4">
                  <c:v>[40.01,50.00]</c:v>
                </c:pt>
                <c:pt idx="5">
                  <c:v>[50.01,60.00]</c:v>
                </c:pt>
              </c:strCache>
            </c:strRef>
          </c:cat>
          <c:val>
            <c:numRef>
              <c:f>红包数据统计!$I$16:$I$21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8-4C1E-89FE-5330B0A9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93131760"/>
        <c:axId val="1493132720"/>
      </c:barChart>
      <c:catAx>
        <c:axId val="149313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3132720"/>
        <c:crosses val="autoZero"/>
        <c:auto val="1"/>
        <c:lblAlgn val="ctr"/>
        <c:lblOffset val="100"/>
        <c:noMultiLvlLbl val="0"/>
      </c:catAx>
      <c:valAx>
        <c:axId val="149313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Count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131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3rd received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红包数据统计!$H$27:$H$32</c:f>
              <c:strCache>
                <c:ptCount val="6"/>
                <c:pt idx="0">
                  <c:v>[00.01,10.00]</c:v>
                </c:pt>
                <c:pt idx="1">
                  <c:v>[10.01,20.00]</c:v>
                </c:pt>
                <c:pt idx="2">
                  <c:v>[20.01,30.01]</c:v>
                </c:pt>
                <c:pt idx="3">
                  <c:v>[30.01,40.00]</c:v>
                </c:pt>
                <c:pt idx="4">
                  <c:v>[40.01,50.00]</c:v>
                </c:pt>
                <c:pt idx="5">
                  <c:v>[50.01,60.00]</c:v>
                </c:pt>
              </c:strCache>
            </c:strRef>
          </c:cat>
          <c:val>
            <c:numRef>
              <c:f>红包数据统计!$I$27:$I$32</c:f>
              <c:numCache>
                <c:formatCode>General</c:formatCode>
                <c:ptCount val="6"/>
                <c:pt idx="0">
                  <c:v>16</c:v>
                </c:pt>
                <c:pt idx="1">
                  <c:v>23</c:v>
                </c:pt>
                <c:pt idx="2">
                  <c:v>7</c:v>
                </c:pt>
                <c:pt idx="3">
                  <c:v>11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F-4CDC-BF95-D96F133B0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69012352"/>
        <c:axId val="1769011392"/>
      </c:barChart>
      <c:catAx>
        <c:axId val="176901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9011392"/>
        <c:crosses val="autoZero"/>
        <c:auto val="1"/>
        <c:lblAlgn val="ctr"/>
        <c:lblOffset val="100"/>
        <c:noMultiLvlLbl val="0"/>
      </c:catAx>
      <c:valAx>
        <c:axId val="1769011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Count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90123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3</xdr:row>
      <xdr:rowOff>0</xdr:rowOff>
    </xdr:from>
    <xdr:to>
      <xdr:col>15</xdr:col>
      <xdr:colOff>6350</xdr:colOff>
      <xdr:row>13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E7B697A-875F-CBD2-2271-AEDB6355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14</xdr:row>
      <xdr:rowOff>0</xdr:rowOff>
    </xdr:from>
    <xdr:to>
      <xdr:col>15</xdr:col>
      <xdr:colOff>6350</xdr:colOff>
      <xdr:row>24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4B3EB9C-881D-B5CB-08A3-91DC88BC8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80B10EE-EEC6-1009-B195-E71DB6863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红包收入"/>
  <dimension ref="A1:D5"/>
  <sheetViews>
    <sheetView topLeftCell="B1" workbookViewId="0"/>
  </sheetViews>
  <sheetFormatPr defaultColWidth="14.15234375" defaultRowHeight="18" customHeight="1"/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t="s">
        <v>4</v>
      </c>
      <c r="B2">
        <v>1339.54</v>
      </c>
      <c r="C2">
        <v>1200</v>
      </c>
      <c r="D2">
        <f>-B2+C2</f>
        <v>-139.53999999999996</v>
      </c>
    </row>
    <row r="3" spans="1:4" ht="18" customHeight="1">
      <c r="A3" t="s">
        <v>5</v>
      </c>
      <c r="B3">
        <v>1258.3</v>
      </c>
      <c r="C3">
        <v>1200</v>
      </c>
      <c r="D3">
        <f>-B3+C3</f>
        <v>-58.299999999999955</v>
      </c>
    </row>
    <row r="4" spans="1:4" ht="18" customHeight="1">
      <c r="A4" t="s">
        <v>6</v>
      </c>
      <c r="C4">
        <v>1200</v>
      </c>
      <c r="D4">
        <f>-B4+C4</f>
        <v>1200</v>
      </c>
    </row>
    <row r="5" spans="1:4" ht="18" customHeight="1">
      <c r="B5">
        <f>SUM(B2:B4)</f>
        <v>2597.84</v>
      </c>
      <c r="C5">
        <f>SUM(C2:C4)</f>
        <v>3600</v>
      </c>
      <c r="D5">
        <f>SUM(D2:D4)</f>
        <v>1002.1600000000001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红包数据统计"/>
  <dimension ref="A1:L84"/>
  <sheetViews>
    <sheetView tabSelected="1" topLeftCell="F13" workbookViewId="0">
      <selection activeCell="P40" sqref="P40"/>
    </sheetView>
  </sheetViews>
  <sheetFormatPr defaultColWidth="14.15234375" defaultRowHeight="18" customHeight="1"/>
  <sheetData>
    <row r="1" spans="1:12" ht="18" customHeight="1">
      <c r="A1" s="1" t="s">
        <v>7</v>
      </c>
      <c r="B1" s="1" t="s">
        <v>8</v>
      </c>
      <c r="C1">
        <v>1</v>
      </c>
      <c r="D1">
        <v>2</v>
      </c>
      <c r="E1">
        <v>3</v>
      </c>
      <c r="F1" s="7" t="s">
        <v>11</v>
      </c>
      <c r="H1">
        <v>10</v>
      </c>
      <c r="I1">
        <v>20</v>
      </c>
      <c r="J1">
        <v>30</v>
      </c>
      <c r="K1">
        <v>40</v>
      </c>
      <c r="L1">
        <v>50</v>
      </c>
    </row>
    <row r="2" spans="1:12" ht="18" customHeight="1">
      <c r="A2" s="4" t="s">
        <v>4</v>
      </c>
      <c r="B2">
        <v>1</v>
      </c>
      <c r="C2">
        <v>26.77</v>
      </c>
      <c r="D2">
        <v>26.68</v>
      </c>
      <c r="E2">
        <v>6.55</v>
      </c>
      <c r="F2">
        <f>SUM(C2:E2)</f>
        <v>60</v>
      </c>
    </row>
    <row r="3" spans="1:12" ht="18" customHeight="1" thickBot="1">
      <c r="A3" s="5"/>
      <c r="B3">
        <v>2</v>
      </c>
      <c r="C3">
        <v>37.01</v>
      </c>
      <c r="D3">
        <v>9.89</v>
      </c>
      <c r="E3">
        <v>13.1</v>
      </c>
      <c r="F3">
        <f t="shared" ref="F3:F61" si="0">SUM(C3:E3)</f>
        <v>60</v>
      </c>
    </row>
    <row r="4" spans="1:12" ht="18" customHeight="1">
      <c r="A4" s="5"/>
      <c r="B4">
        <v>3</v>
      </c>
      <c r="C4">
        <v>19.829999999999998</v>
      </c>
      <c r="D4">
        <v>23.87</v>
      </c>
      <c r="E4">
        <v>16.3</v>
      </c>
      <c r="F4">
        <f t="shared" si="0"/>
        <v>60</v>
      </c>
      <c r="H4" s="12" t="s">
        <v>21</v>
      </c>
      <c r="I4" s="12" t="s">
        <v>22</v>
      </c>
    </row>
    <row r="5" spans="1:12" ht="18" customHeight="1">
      <c r="A5" s="5"/>
      <c r="B5">
        <v>4</v>
      </c>
      <c r="C5">
        <v>29.88</v>
      </c>
      <c r="D5">
        <v>29.48</v>
      </c>
      <c r="E5">
        <v>0.64</v>
      </c>
      <c r="F5">
        <f t="shared" si="0"/>
        <v>60</v>
      </c>
      <c r="H5" s="13" t="s">
        <v>17</v>
      </c>
      <c r="I5" s="10">
        <v>11</v>
      </c>
    </row>
    <row r="6" spans="1:12" ht="18" customHeight="1">
      <c r="A6" s="5"/>
      <c r="B6">
        <v>5</v>
      </c>
      <c r="C6">
        <v>21.3</v>
      </c>
      <c r="D6">
        <v>12.21</v>
      </c>
      <c r="E6">
        <v>26.49</v>
      </c>
      <c r="F6">
        <f t="shared" si="0"/>
        <v>60</v>
      </c>
      <c r="H6" s="13" t="s">
        <v>15</v>
      </c>
      <c r="I6" s="10">
        <v>18</v>
      </c>
    </row>
    <row r="7" spans="1:12" ht="18" customHeight="1">
      <c r="A7" s="5"/>
      <c r="B7">
        <v>6</v>
      </c>
      <c r="C7">
        <v>22.35</v>
      </c>
      <c r="D7">
        <v>28.6</v>
      </c>
      <c r="E7">
        <v>9.0500000000000007</v>
      </c>
      <c r="F7">
        <f t="shared" si="0"/>
        <v>60</v>
      </c>
      <c r="H7" s="13" t="s">
        <v>16</v>
      </c>
      <c r="I7" s="10">
        <v>17</v>
      </c>
    </row>
    <row r="8" spans="1:12" ht="18" customHeight="1">
      <c r="A8" s="5"/>
      <c r="B8">
        <v>7</v>
      </c>
      <c r="C8">
        <v>7.17</v>
      </c>
      <c r="D8">
        <v>47.27</v>
      </c>
      <c r="E8">
        <v>5.56</v>
      </c>
      <c r="F8">
        <f t="shared" si="0"/>
        <v>60.000000000000007</v>
      </c>
      <c r="H8" s="13" t="s">
        <v>18</v>
      </c>
      <c r="I8" s="10">
        <v>14</v>
      </c>
    </row>
    <row r="9" spans="1:12" ht="18" customHeight="1">
      <c r="A9" s="5"/>
      <c r="B9">
        <v>8</v>
      </c>
      <c r="C9">
        <v>28.77</v>
      </c>
      <c r="D9">
        <v>24.38</v>
      </c>
      <c r="E9">
        <v>6.85</v>
      </c>
      <c r="F9">
        <f t="shared" si="0"/>
        <v>60</v>
      </c>
      <c r="H9" s="13" t="s">
        <v>19</v>
      </c>
      <c r="I9" s="10">
        <v>0</v>
      </c>
    </row>
    <row r="10" spans="1:12" ht="18" customHeight="1" thickBot="1">
      <c r="A10" s="5"/>
      <c r="B10">
        <v>9</v>
      </c>
      <c r="C10">
        <v>10.34</v>
      </c>
      <c r="D10">
        <v>31</v>
      </c>
      <c r="E10">
        <v>18.66</v>
      </c>
      <c r="F10">
        <f t="shared" si="0"/>
        <v>60</v>
      </c>
      <c r="H10" s="14" t="s">
        <v>20</v>
      </c>
      <c r="I10" s="11">
        <v>0</v>
      </c>
    </row>
    <row r="11" spans="1:12" ht="18" customHeight="1">
      <c r="A11" s="5"/>
      <c r="B11">
        <v>10</v>
      </c>
      <c r="C11">
        <v>39.880000000000003</v>
      </c>
      <c r="D11">
        <v>5.83</v>
      </c>
      <c r="E11">
        <v>14.29</v>
      </c>
      <c r="F11">
        <f t="shared" si="0"/>
        <v>60</v>
      </c>
    </row>
    <row r="12" spans="1:12" ht="18" customHeight="1">
      <c r="A12" s="6" t="s">
        <v>9</v>
      </c>
      <c r="B12">
        <v>1</v>
      </c>
      <c r="C12">
        <v>38.85</v>
      </c>
      <c r="D12">
        <v>17.39</v>
      </c>
      <c r="E12">
        <v>3.76</v>
      </c>
      <c r="F12">
        <f t="shared" si="0"/>
        <v>60</v>
      </c>
      <c r="G12" s="2"/>
    </row>
    <row r="13" spans="1:12" ht="18" customHeight="1">
      <c r="A13" s="5"/>
      <c r="B13">
        <v>2</v>
      </c>
      <c r="C13">
        <v>24.71</v>
      </c>
      <c r="D13">
        <v>30.44</v>
      </c>
      <c r="E13">
        <v>4.8499999999999996</v>
      </c>
      <c r="F13">
        <f t="shared" si="0"/>
        <v>60.000000000000007</v>
      </c>
      <c r="G13" s="3"/>
    </row>
    <row r="14" spans="1:12" ht="18" customHeight="1" thickBot="1">
      <c r="A14" s="5"/>
      <c r="B14">
        <v>3</v>
      </c>
      <c r="C14">
        <v>9.11</v>
      </c>
      <c r="D14">
        <v>25.66</v>
      </c>
      <c r="E14">
        <v>25.23</v>
      </c>
      <c r="F14">
        <f t="shared" si="0"/>
        <v>60</v>
      </c>
      <c r="G14" s="3"/>
    </row>
    <row r="15" spans="1:12" ht="18" customHeight="1">
      <c r="A15" s="5"/>
      <c r="B15">
        <v>4</v>
      </c>
      <c r="C15">
        <v>13.93</v>
      </c>
      <c r="D15">
        <v>44.21</v>
      </c>
      <c r="E15">
        <v>1.86</v>
      </c>
      <c r="F15">
        <f t="shared" si="0"/>
        <v>60</v>
      </c>
      <c r="G15" s="3"/>
      <c r="H15" s="12" t="s">
        <v>21</v>
      </c>
      <c r="I15" s="12" t="s">
        <v>22</v>
      </c>
    </row>
    <row r="16" spans="1:12" ht="18" customHeight="1">
      <c r="A16" s="5"/>
      <c r="B16">
        <v>5</v>
      </c>
      <c r="C16">
        <v>25.77</v>
      </c>
      <c r="D16">
        <v>1.71</v>
      </c>
      <c r="E16">
        <v>32.520000000000003</v>
      </c>
      <c r="F16">
        <f t="shared" si="0"/>
        <v>60</v>
      </c>
      <c r="G16" s="3"/>
      <c r="H16" s="13" t="s">
        <v>17</v>
      </c>
      <c r="I16" s="10">
        <v>17</v>
      </c>
    </row>
    <row r="17" spans="1:9" ht="18" customHeight="1">
      <c r="A17" s="5"/>
      <c r="B17">
        <v>6</v>
      </c>
      <c r="C17">
        <v>19.22</v>
      </c>
      <c r="D17">
        <v>30.39</v>
      </c>
      <c r="E17">
        <v>10.39</v>
      </c>
      <c r="F17">
        <f t="shared" si="0"/>
        <v>60</v>
      </c>
      <c r="G17" s="3"/>
      <c r="H17" s="13" t="s">
        <v>15</v>
      </c>
      <c r="I17" s="10">
        <v>17</v>
      </c>
    </row>
    <row r="18" spans="1:9" ht="18" customHeight="1">
      <c r="A18" s="5"/>
      <c r="B18">
        <v>7</v>
      </c>
      <c r="C18">
        <v>21.04</v>
      </c>
      <c r="D18">
        <v>3.76</v>
      </c>
      <c r="E18">
        <v>35.200000000000003</v>
      </c>
      <c r="F18">
        <f t="shared" si="0"/>
        <v>60</v>
      </c>
      <c r="G18" s="3"/>
      <c r="H18" s="13" t="s">
        <v>16</v>
      </c>
      <c r="I18" s="10">
        <v>13</v>
      </c>
    </row>
    <row r="19" spans="1:9" ht="18" customHeight="1">
      <c r="A19" s="5"/>
      <c r="B19">
        <v>8</v>
      </c>
      <c r="C19">
        <v>36.14</v>
      </c>
      <c r="D19">
        <v>19.25</v>
      </c>
      <c r="E19">
        <v>4.6100000000000003</v>
      </c>
      <c r="F19">
        <f t="shared" si="0"/>
        <v>60</v>
      </c>
      <c r="G19" s="3"/>
      <c r="H19" s="13" t="s">
        <v>18</v>
      </c>
      <c r="I19" s="10">
        <v>10</v>
      </c>
    </row>
    <row r="20" spans="1:9" ht="18" customHeight="1">
      <c r="A20" s="5"/>
      <c r="B20">
        <v>9</v>
      </c>
      <c r="C20">
        <v>38.82</v>
      </c>
      <c r="D20">
        <v>17.41</v>
      </c>
      <c r="E20">
        <v>3.77</v>
      </c>
      <c r="F20">
        <f t="shared" si="0"/>
        <v>60.000000000000007</v>
      </c>
      <c r="G20" s="3"/>
      <c r="H20" s="13" t="s">
        <v>19</v>
      </c>
      <c r="I20" s="10">
        <v>2</v>
      </c>
    </row>
    <row r="21" spans="1:9" ht="18" customHeight="1" thickBot="1">
      <c r="A21" s="5"/>
      <c r="B21">
        <v>10</v>
      </c>
      <c r="C21">
        <v>18.37</v>
      </c>
      <c r="D21">
        <v>14.97</v>
      </c>
      <c r="E21">
        <v>26.66</v>
      </c>
      <c r="F21">
        <f t="shared" si="0"/>
        <v>60</v>
      </c>
      <c r="G21" s="3"/>
      <c r="H21" s="14" t="s">
        <v>20</v>
      </c>
      <c r="I21" s="11">
        <v>1</v>
      </c>
    </row>
    <row r="22" spans="1:9" ht="16.5">
      <c r="A22" s="4" t="s">
        <v>4</v>
      </c>
      <c r="B22">
        <v>1</v>
      </c>
      <c r="C22">
        <v>18.22</v>
      </c>
      <c r="D22">
        <v>9.69</v>
      </c>
      <c r="E22">
        <v>32.090000000000003</v>
      </c>
      <c r="F22">
        <f t="shared" si="0"/>
        <v>60</v>
      </c>
    </row>
    <row r="23" spans="1:9" ht="16.5">
      <c r="A23" s="5"/>
      <c r="B23">
        <v>2</v>
      </c>
      <c r="C23">
        <v>8.7799999999999994</v>
      </c>
      <c r="D23">
        <v>35.119999999999997</v>
      </c>
      <c r="E23">
        <v>16.100000000000001</v>
      </c>
      <c r="F23">
        <f t="shared" si="0"/>
        <v>60</v>
      </c>
    </row>
    <row r="24" spans="1:9" ht="16.5">
      <c r="A24" s="5"/>
      <c r="B24">
        <v>3</v>
      </c>
      <c r="C24">
        <v>14.15</v>
      </c>
      <c r="D24">
        <v>2.98</v>
      </c>
      <c r="E24">
        <v>42.87</v>
      </c>
      <c r="F24">
        <f t="shared" si="0"/>
        <v>60</v>
      </c>
    </row>
    <row r="25" spans="1:9" ht="17" thickBot="1">
      <c r="A25" s="5"/>
      <c r="B25">
        <v>4</v>
      </c>
      <c r="C25">
        <v>29.54</v>
      </c>
      <c r="D25">
        <v>14.21</v>
      </c>
      <c r="E25">
        <v>16.25</v>
      </c>
      <c r="F25">
        <f t="shared" si="0"/>
        <v>60</v>
      </c>
    </row>
    <row r="26" spans="1:9" ht="16.5">
      <c r="A26" s="5"/>
      <c r="B26">
        <v>5</v>
      </c>
      <c r="C26">
        <v>22.21</v>
      </c>
      <c r="D26">
        <v>15.4</v>
      </c>
      <c r="E26">
        <v>22.39</v>
      </c>
      <c r="F26">
        <f t="shared" si="0"/>
        <v>60</v>
      </c>
      <c r="H26" s="12" t="s">
        <v>21</v>
      </c>
      <c r="I26" s="12" t="s">
        <v>22</v>
      </c>
    </row>
    <row r="27" spans="1:9" ht="16.5">
      <c r="A27" s="5"/>
      <c r="B27">
        <v>6</v>
      </c>
      <c r="C27">
        <v>21.97</v>
      </c>
      <c r="D27">
        <v>4.9000000000000004</v>
      </c>
      <c r="E27">
        <v>33.130000000000003</v>
      </c>
      <c r="F27">
        <f t="shared" si="0"/>
        <v>60</v>
      </c>
      <c r="H27" s="13" t="s">
        <v>17</v>
      </c>
      <c r="I27" s="10">
        <v>16</v>
      </c>
    </row>
    <row r="28" spans="1:9" ht="16.5">
      <c r="A28" s="5"/>
      <c r="B28">
        <v>7</v>
      </c>
      <c r="C28">
        <v>13.64</v>
      </c>
      <c r="D28">
        <v>14.16</v>
      </c>
      <c r="E28">
        <v>32.200000000000003</v>
      </c>
      <c r="F28">
        <f t="shared" si="0"/>
        <v>60</v>
      </c>
      <c r="H28" s="13" t="s">
        <v>15</v>
      </c>
      <c r="I28" s="10">
        <v>23</v>
      </c>
    </row>
    <row r="29" spans="1:9" ht="16.5">
      <c r="A29" s="5"/>
      <c r="B29">
        <v>8</v>
      </c>
      <c r="C29">
        <v>8.3699999999999992</v>
      </c>
      <c r="D29">
        <v>36.479999999999997</v>
      </c>
      <c r="E29">
        <v>15.15</v>
      </c>
      <c r="F29">
        <f t="shared" si="0"/>
        <v>59.999999999999993</v>
      </c>
      <c r="H29" s="13" t="s">
        <v>16</v>
      </c>
      <c r="I29" s="10">
        <v>7</v>
      </c>
    </row>
    <row r="30" spans="1:9" ht="16.5">
      <c r="A30" s="5"/>
      <c r="B30">
        <v>9</v>
      </c>
      <c r="C30">
        <v>2.62</v>
      </c>
      <c r="D30">
        <v>38.33</v>
      </c>
      <c r="E30">
        <v>19.05</v>
      </c>
      <c r="F30">
        <f t="shared" si="0"/>
        <v>60</v>
      </c>
      <c r="H30" s="13" t="s">
        <v>18</v>
      </c>
      <c r="I30" s="10">
        <v>11</v>
      </c>
    </row>
    <row r="31" spans="1:9" ht="16.5">
      <c r="A31" s="5"/>
      <c r="B31">
        <v>10</v>
      </c>
      <c r="C31">
        <v>36.659999999999997</v>
      </c>
      <c r="D31">
        <v>6.12</v>
      </c>
      <c r="E31">
        <v>17.22</v>
      </c>
      <c r="F31">
        <f t="shared" si="0"/>
        <v>59.999999999999993</v>
      </c>
      <c r="H31" s="13" t="s">
        <v>19</v>
      </c>
      <c r="I31" s="10">
        <v>2</v>
      </c>
    </row>
    <row r="32" spans="1:9" ht="17" thickBot="1">
      <c r="A32" s="4" t="s">
        <v>9</v>
      </c>
      <c r="B32">
        <v>1</v>
      </c>
      <c r="C32">
        <v>15.52</v>
      </c>
      <c r="D32">
        <v>17.75</v>
      </c>
      <c r="E32">
        <v>26.73</v>
      </c>
      <c r="F32">
        <f t="shared" si="0"/>
        <v>60</v>
      </c>
      <c r="H32" s="14" t="s">
        <v>20</v>
      </c>
      <c r="I32" s="11">
        <v>1</v>
      </c>
    </row>
    <row r="33" spans="1:6" ht="16.5">
      <c r="A33" s="5"/>
      <c r="B33">
        <v>2</v>
      </c>
      <c r="C33">
        <v>30.49</v>
      </c>
      <c r="D33">
        <v>16.690000000000001</v>
      </c>
      <c r="E33">
        <v>12.82</v>
      </c>
      <c r="F33">
        <f t="shared" si="0"/>
        <v>60</v>
      </c>
    </row>
    <row r="34" spans="1:6" ht="16.5">
      <c r="A34" s="5"/>
      <c r="B34">
        <v>3</v>
      </c>
      <c r="C34">
        <v>19.829999999999998</v>
      </c>
      <c r="D34">
        <v>16.32</v>
      </c>
      <c r="E34">
        <v>23.85</v>
      </c>
      <c r="F34">
        <f t="shared" si="0"/>
        <v>60</v>
      </c>
    </row>
    <row r="35" spans="1:6" ht="16.5">
      <c r="A35" s="5"/>
      <c r="B35">
        <v>4</v>
      </c>
      <c r="C35">
        <v>8.3699999999999992</v>
      </c>
      <c r="D35">
        <v>2.58</v>
      </c>
      <c r="E35">
        <v>49.05</v>
      </c>
      <c r="F35">
        <f t="shared" si="0"/>
        <v>60</v>
      </c>
    </row>
    <row r="36" spans="1:6" ht="16.5">
      <c r="A36" s="5"/>
      <c r="B36">
        <v>5</v>
      </c>
      <c r="C36">
        <v>6.75</v>
      </c>
      <c r="D36">
        <v>53.1</v>
      </c>
      <c r="E36">
        <v>0.15</v>
      </c>
      <c r="F36">
        <f t="shared" si="0"/>
        <v>60</v>
      </c>
    </row>
    <row r="37" spans="1:6" ht="16.5">
      <c r="A37" s="5"/>
      <c r="B37">
        <v>6</v>
      </c>
      <c r="C37">
        <v>26.07</v>
      </c>
      <c r="D37">
        <v>23.11</v>
      </c>
      <c r="E37">
        <v>10.82</v>
      </c>
      <c r="F37">
        <f t="shared" si="0"/>
        <v>60</v>
      </c>
    </row>
    <row r="38" spans="1:6" ht="16.5">
      <c r="A38" s="5"/>
      <c r="B38">
        <v>7</v>
      </c>
      <c r="C38">
        <v>34.32</v>
      </c>
      <c r="D38">
        <v>12.4</v>
      </c>
      <c r="E38">
        <v>13.28</v>
      </c>
      <c r="F38">
        <f t="shared" si="0"/>
        <v>60</v>
      </c>
    </row>
    <row r="39" spans="1:6" ht="16.5">
      <c r="A39" s="5"/>
      <c r="B39">
        <v>8</v>
      </c>
      <c r="C39">
        <v>29.84</v>
      </c>
      <c r="D39">
        <v>21.09</v>
      </c>
      <c r="E39">
        <v>9.07</v>
      </c>
      <c r="F39">
        <f t="shared" si="0"/>
        <v>60</v>
      </c>
    </row>
    <row r="40" spans="1:6" ht="16.5">
      <c r="A40" s="5"/>
      <c r="B40">
        <v>9</v>
      </c>
      <c r="C40">
        <v>25.96</v>
      </c>
      <c r="D40">
        <v>16.45</v>
      </c>
      <c r="E40">
        <v>17.59</v>
      </c>
      <c r="F40">
        <f t="shared" si="0"/>
        <v>60</v>
      </c>
    </row>
    <row r="41" spans="1:6" ht="16.5">
      <c r="A41" s="5"/>
      <c r="B41">
        <v>10</v>
      </c>
      <c r="C41">
        <v>25.07</v>
      </c>
      <c r="D41">
        <v>19.600000000000001</v>
      </c>
      <c r="E41">
        <v>15.33</v>
      </c>
      <c r="F41">
        <f t="shared" si="0"/>
        <v>60</v>
      </c>
    </row>
    <row r="42" spans="1:6" ht="16.5">
      <c r="A42" s="4" t="s">
        <v>10</v>
      </c>
      <c r="B42">
        <v>1</v>
      </c>
      <c r="C42">
        <v>7.95</v>
      </c>
      <c r="D42">
        <v>16.41</v>
      </c>
      <c r="E42">
        <v>35.64</v>
      </c>
      <c r="F42">
        <f t="shared" si="0"/>
        <v>60</v>
      </c>
    </row>
    <row r="43" spans="1:6" ht="16.5">
      <c r="A43" s="5"/>
      <c r="B43">
        <v>2</v>
      </c>
      <c r="C43">
        <v>33.79</v>
      </c>
      <c r="D43">
        <v>22.41</v>
      </c>
      <c r="E43">
        <v>3.8</v>
      </c>
      <c r="F43">
        <f t="shared" si="0"/>
        <v>60</v>
      </c>
    </row>
    <row r="44" spans="1:6" ht="16.5">
      <c r="A44" s="5"/>
      <c r="B44">
        <v>3</v>
      </c>
      <c r="C44">
        <v>11.71</v>
      </c>
      <c r="D44">
        <v>32.64</v>
      </c>
      <c r="E44">
        <v>15.65</v>
      </c>
      <c r="F44">
        <f t="shared" si="0"/>
        <v>60</v>
      </c>
    </row>
    <row r="45" spans="1:6" ht="16.5">
      <c r="A45" s="5"/>
      <c r="B45">
        <v>4</v>
      </c>
      <c r="C45">
        <v>2.68</v>
      </c>
      <c r="D45">
        <v>38.950000000000003</v>
      </c>
      <c r="E45">
        <v>18.37</v>
      </c>
      <c r="F45">
        <f t="shared" si="0"/>
        <v>60</v>
      </c>
    </row>
    <row r="46" spans="1:6" ht="16.5">
      <c r="A46" s="5"/>
      <c r="B46">
        <v>5</v>
      </c>
      <c r="C46">
        <v>33.07</v>
      </c>
      <c r="D46">
        <v>7.39</v>
      </c>
      <c r="E46">
        <v>19.54</v>
      </c>
      <c r="F46">
        <f t="shared" si="0"/>
        <v>60</v>
      </c>
    </row>
    <row r="47" spans="1:6" ht="16.5">
      <c r="A47" s="5"/>
      <c r="B47">
        <v>6</v>
      </c>
      <c r="C47">
        <v>20.51</v>
      </c>
      <c r="D47">
        <v>31.52</v>
      </c>
      <c r="E47">
        <v>7.97</v>
      </c>
      <c r="F47">
        <f t="shared" si="0"/>
        <v>60</v>
      </c>
    </row>
    <row r="48" spans="1:6" ht="16.5">
      <c r="A48" s="5"/>
      <c r="B48">
        <v>7</v>
      </c>
      <c r="C48">
        <v>19.79</v>
      </c>
      <c r="D48">
        <v>28.33</v>
      </c>
      <c r="E48">
        <v>11.88</v>
      </c>
      <c r="F48">
        <f t="shared" si="0"/>
        <v>60</v>
      </c>
    </row>
    <row r="49" spans="1:6" ht="16.5">
      <c r="A49" s="5"/>
      <c r="B49">
        <v>8</v>
      </c>
      <c r="C49">
        <v>6.29</v>
      </c>
      <c r="D49">
        <v>16.510000000000002</v>
      </c>
      <c r="E49">
        <v>37.200000000000003</v>
      </c>
      <c r="F49">
        <f t="shared" si="0"/>
        <v>60</v>
      </c>
    </row>
    <row r="50" spans="1:6" ht="16.5">
      <c r="A50" s="5"/>
      <c r="B50">
        <v>9</v>
      </c>
      <c r="C50">
        <v>16.2</v>
      </c>
      <c r="D50">
        <v>5.78</v>
      </c>
      <c r="E50">
        <v>38.020000000000003</v>
      </c>
      <c r="F50">
        <f t="shared" si="0"/>
        <v>60</v>
      </c>
    </row>
    <row r="51" spans="1:6" ht="16.5">
      <c r="A51" s="5"/>
      <c r="B51">
        <v>10</v>
      </c>
      <c r="C51">
        <v>2</v>
      </c>
      <c r="D51">
        <v>5.47</v>
      </c>
      <c r="E51">
        <v>52.53</v>
      </c>
      <c r="F51">
        <f t="shared" si="0"/>
        <v>60</v>
      </c>
    </row>
    <row r="52" spans="1:6" ht="16.5">
      <c r="A52" s="5"/>
      <c r="B52">
        <f t="shared" ref="B52:B61" si="1">B42+10</f>
        <v>11</v>
      </c>
      <c r="C52">
        <v>31.86</v>
      </c>
      <c r="D52">
        <v>24.54</v>
      </c>
      <c r="E52">
        <v>3.6</v>
      </c>
      <c r="F52">
        <f t="shared" si="0"/>
        <v>60</v>
      </c>
    </row>
    <row r="53" spans="1:6" ht="16.5">
      <c r="A53" s="5"/>
      <c r="B53">
        <f t="shared" si="1"/>
        <v>12</v>
      </c>
      <c r="C53">
        <v>12.37</v>
      </c>
      <c r="D53">
        <v>8.98</v>
      </c>
      <c r="E53">
        <v>38.65</v>
      </c>
      <c r="F53">
        <f t="shared" si="0"/>
        <v>60</v>
      </c>
    </row>
    <row r="54" spans="1:6" ht="16.5">
      <c r="A54" s="5"/>
      <c r="B54">
        <f t="shared" si="1"/>
        <v>13</v>
      </c>
      <c r="C54">
        <v>19.29</v>
      </c>
      <c r="D54">
        <v>23.16</v>
      </c>
      <c r="E54">
        <v>17.55</v>
      </c>
      <c r="F54">
        <f t="shared" si="0"/>
        <v>60</v>
      </c>
    </row>
    <row r="55" spans="1:6" ht="16.5">
      <c r="A55" s="5"/>
      <c r="B55">
        <f t="shared" si="1"/>
        <v>14</v>
      </c>
      <c r="C55">
        <v>17.149999999999999</v>
      </c>
      <c r="D55">
        <v>4.3600000000000003</v>
      </c>
      <c r="E55">
        <v>38.49</v>
      </c>
      <c r="F55">
        <f t="shared" si="0"/>
        <v>60</v>
      </c>
    </row>
    <row r="56" spans="1:6" ht="16.5">
      <c r="A56" s="5"/>
      <c r="B56">
        <f t="shared" si="1"/>
        <v>15</v>
      </c>
      <c r="C56">
        <v>12.49</v>
      </c>
      <c r="D56">
        <v>21.57</v>
      </c>
      <c r="E56">
        <v>25.94</v>
      </c>
      <c r="F56">
        <f t="shared" si="0"/>
        <v>60</v>
      </c>
    </row>
    <row r="57" spans="1:6" ht="16.5">
      <c r="A57" s="5"/>
      <c r="B57">
        <f t="shared" si="1"/>
        <v>16</v>
      </c>
      <c r="C57">
        <v>38.159999999999997</v>
      </c>
      <c r="D57">
        <v>5.28</v>
      </c>
      <c r="E57">
        <v>16.559999999999999</v>
      </c>
      <c r="F57">
        <f t="shared" si="0"/>
        <v>60</v>
      </c>
    </row>
    <row r="58" spans="1:6" ht="16.5">
      <c r="A58" s="5"/>
      <c r="B58">
        <f t="shared" si="1"/>
        <v>17</v>
      </c>
      <c r="C58">
        <v>20.25</v>
      </c>
      <c r="D58">
        <v>6.26</v>
      </c>
      <c r="E58">
        <v>33.49</v>
      </c>
      <c r="F58">
        <f t="shared" si="0"/>
        <v>60</v>
      </c>
    </row>
    <row r="59" spans="1:6" ht="16.5">
      <c r="A59" s="5"/>
      <c r="B59">
        <f t="shared" si="1"/>
        <v>18</v>
      </c>
      <c r="C59">
        <v>31.78</v>
      </c>
      <c r="D59">
        <v>9.15</v>
      </c>
      <c r="E59">
        <v>19.07</v>
      </c>
      <c r="F59">
        <f t="shared" si="0"/>
        <v>60</v>
      </c>
    </row>
    <row r="60" spans="1:6" ht="16.5">
      <c r="A60" s="5"/>
      <c r="B60">
        <f t="shared" si="1"/>
        <v>19</v>
      </c>
      <c r="C60">
        <v>14.37</v>
      </c>
      <c r="D60">
        <v>33.33</v>
      </c>
      <c r="E60">
        <v>12.3</v>
      </c>
      <c r="F60">
        <f t="shared" si="0"/>
        <v>60</v>
      </c>
    </row>
    <row r="61" spans="1:6" ht="16.5">
      <c r="A61" s="5"/>
      <c r="B61">
        <f t="shared" si="1"/>
        <v>20</v>
      </c>
      <c r="C61">
        <v>37.89</v>
      </c>
      <c r="D61">
        <v>17.52</v>
      </c>
      <c r="E61">
        <v>4.59</v>
      </c>
      <c r="F61">
        <f t="shared" si="0"/>
        <v>60</v>
      </c>
    </row>
    <row r="62" spans="1:6" ht="18" customHeight="1">
      <c r="A62" s="7" t="s">
        <v>12</v>
      </c>
      <c r="B62" s="8" t="s">
        <v>13</v>
      </c>
      <c r="C62">
        <f>AVERAGE(C2:C61)</f>
        <v>21.287333333333333</v>
      </c>
      <c r="D62">
        <f t="shared" ref="D62:F62" si="2">AVERAGE(D2:D61)</f>
        <v>19.673999999999999</v>
      </c>
      <c r="E62">
        <f t="shared" si="2"/>
        <v>19.038666666666664</v>
      </c>
      <c r="F62" s="8" t="s">
        <v>13</v>
      </c>
    </row>
    <row r="63" spans="1:6" ht="18" customHeight="1">
      <c r="A63" s="7" t="s">
        <v>14</v>
      </c>
      <c r="B63" s="8" t="s">
        <v>13</v>
      </c>
      <c r="C63">
        <f>VAR(C2:C61)</f>
        <v>111.88301649717515</v>
      </c>
      <c r="D63">
        <f t="shared" ref="D63:F63" si="3">VAR(D2:D61)</f>
        <v>146.08965491525436</v>
      </c>
      <c r="E63">
        <f t="shared" si="3"/>
        <v>162.83363548022601</v>
      </c>
      <c r="F63" s="8" t="s">
        <v>13</v>
      </c>
    </row>
    <row r="65" spans="1:1" ht="16.5">
      <c r="A65" s="9"/>
    </row>
    <row r="66" spans="1:1" ht="18" customHeight="1">
      <c r="A66" s="9"/>
    </row>
    <row r="67" spans="1:1" ht="18" customHeight="1">
      <c r="A67" s="9"/>
    </row>
    <row r="68" spans="1:1" ht="18" customHeight="1">
      <c r="A68" s="9"/>
    </row>
    <row r="69" spans="1:1" ht="18" customHeight="1">
      <c r="A69" s="9"/>
    </row>
    <row r="70" spans="1:1" ht="18" customHeight="1">
      <c r="A70" s="9"/>
    </row>
    <row r="71" spans="1:1" ht="18" customHeight="1">
      <c r="A71" s="9"/>
    </row>
    <row r="72" spans="1:1" ht="18" customHeight="1">
      <c r="A72" s="9"/>
    </row>
    <row r="73" spans="1:1" ht="18" customHeight="1">
      <c r="A73" s="9"/>
    </row>
    <row r="74" spans="1:1" ht="18" customHeight="1">
      <c r="A74" s="9"/>
    </row>
    <row r="75" spans="1:1" ht="18" customHeight="1">
      <c r="A75" s="9"/>
    </row>
    <row r="76" spans="1:1" ht="18" customHeight="1">
      <c r="A76" s="9"/>
    </row>
    <row r="77" spans="1:1" ht="18" customHeight="1">
      <c r="A77" s="9"/>
    </row>
    <row r="78" spans="1:1" ht="18" customHeight="1">
      <c r="A78" s="9"/>
    </row>
    <row r="79" spans="1:1" ht="18" customHeight="1">
      <c r="A79" s="9"/>
    </row>
    <row r="80" spans="1:1" ht="18" customHeight="1">
      <c r="A80" s="9"/>
    </row>
    <row r="81" spans="1:1" ht="18" customHeight="1">
      <c r="A81" s="9"/>
    </row>
    <row r="82" spans="1:1" ht="18" customHeight="1">
      <c r="A82" s="9"/>
    </row>
    <row r="83" spans="1:1" ht="18" customHeight="1">
      <c r="A83" s="9"/>
    </row>
    <row r="84" spans="1:1" ht="18" customHeight="1">
      <c r="A84" s="9"/>
    </row>
  </sheetData>
  <sortState xmlns:xlrd2="http://schemas.microsoft.com/office/spreadsheetml/2017/richdata2" ref="H27:H31">
    <sortCondition ref="H27"/>
  </sortState>
  <mergeCells count="5">
    <mergeCell ref="A2:A11"/>
    <mergeCell ref="A12:A21"/>
    <mergeCell ref="A22:A31"/>
    <mergeCell ref="A32:A41"/>
    <mergeCell ref="A42:A61"/>
  </mergeCells>
  <phoneticPr fontId="2" type="noConversion"/>
  <pageMargins left="0.7" right="0.7" top="0.75" bottom="0.75" header="0.3" footer="0.3"/>
  <pageSetup paperSize="9" orientation="portrait" horizontalDpi="300" verticalDpi="300" r:id="rId1"/>
  <ignoredErrors>
    <ignoredError sqref="F2 F3:F61 C62:C63 D62:E6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红包收入</vt:lpstr>
      <vt:lpstr>红包数据统计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2026-01-15T19:35:42Z</dcterms:created>
  <dcterms:modified xsi:type="dcterms:W3CDTF">2026-01-15T12:26:05Z</dcterms:modified>
</cp:coreProperties>
</file>